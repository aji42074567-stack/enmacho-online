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説明" sheetId="1" state="visible" r:id="rId3"/>
    <sheet name="パラメータ" sheetId="2" state="visible" r:id="rId4"/>
    <sheet name="徳位表" sheetId="3" state="visible" r:id="rId5"/>
    <sheet name="章設計" sheetId="4" state="visible" r:id="rId6"/>
    <sheet name="経済と報酬" sheetId="5" state="visible" r:id="rId7"/>
    <sheet name="強化期待値" sheetId="6" state="visible" r:id="rId8"/>
    <sheet name="現行敵と照合" sheetId="7" state="visible" r:id="rId9"/>
    <sheet name="強化新案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<sst xmlns="http://schemas.openxmlformats.org/spreadsheetml/2006/main" count="187" uniqueCount="172">
  <si>
    <t xml:space="preserve">閻魔庁ONLINE 成長バランス設計表</t>
  </si>
  <si>
    <t xml:space="preserve">この表は「上限Lv80・全8章・1章5〜10時間・後半ほど重い」という決定に基づく成長曲線モデル。</t>
  </si>
  <si>
    <t xml:space="preserve">■ 色の意味</t>
  </si>
  <si>
    <t xml:space="preserve">  青字+黄色地 = 入力セル(自由に変えてよい)。変えると全シートが再計算される</t>
  </si>
  <si>
    <t xml:space="preserve">  黒字 = 数式(触らない)</t>
  </si>
  <si>
    <t xml:space="preserve">■ シート構成</t>
  </si>
  <si>
    <t xml:space="preserve">  パラメータ   … 全体を動かす係数。まずここを触る</t>
  </si>
  <si>
    <t xml:space="preserve">  徳位表       … Lv1〜80の必要経験値と、そのLv帯の敵の目安性能</t>
  </si>
  <si>
    <t xml:space="preserve">  章設計       … 8章それぞれのLv帯・想定時間・区割り。目標時間との差を判定</t>
  </si>
  <si>
    <t xml:space="preserve">  経済と報酬   … 章ごとの時給(XP/モン)と、そこから逆算したデイリー報酬・装備価格目安</t>
  </si>
  <si>
    <t xml:space="preserve">  強化期待値   … 現行の強化成功率での期待消費巻物数(+9は事実上の無限目標)</t>
  </si>
  <si>
    <t xml:space="preserve">  現行敵と照合 … いま実装済みの敵15種と、モデル式の乖離チェック</t>
  </si>
  <si>
    <t xml:space="preserve">■ 使い方の例</t>
  </si>
  <si>
    <t xml:space="preserve">  「4章が重すぎる」→ 章設計の討伐ペース補正か開始Lvを変える → 想定時間が動く</t>
  </si>
  <si>
    <t xml:space="preserve">  「デイリー報酬いくらにする?」→ 経済と報酬シートの該当章の行を読むだけ</t>
  </si>
  <si>
    <t xml:space="preserve">数値の出典: play.html(2026-07-23時点, xpNext=50×Lv^1.9, MOBS定義, ENH_RATE)</t>
  </si>
  <si>
    <t xml:space="preserve">項目</t>
  </si>
  <si>
    <t xml:space="preserve">値</t>
  </si>
  <si>
    <t xml:space="preserve">メモ</t>
  </si>
  <si>
    <t xml:space="preserve">上限徳位</t>
  </si>
  <si>
    <t xml:space="preserve">全8章クリア時の到達点</t>
  </si>
  <si>
    <t xml:space="preserve">必要XP係数</t>
  </si>
  <si>
    <t xml:space="preserve">現行 xpNext=50×Lv^1.9 を維持(セーブ互換)</t>
  </si>
  <si>
    <t xml:space="preserve">必要XP指数</t>
  </si>
  <si>
    <t xml:space="preserve">同上</t>
  </si>
  <si>
    <t xml:space="preserve">敵XP係数</t>
  </si>
  <si>
    <t xml:space="preserve">敵XP目安 = 係数×Lv^指数</t>
  </si>
  <si>
    <t xml:space="preserve">敵XP指数</t>
  </si>
  <si>
    <t xml:space="preserve">現行1章の敵に概ね一致(照合シート参照)</t>
  </si>
  <si>
    <t xml:space="preserve">敵HP係数</t>
  </si>
  <si>
    <t xml:space="preserve">敵HP目安 = 係数×Lv^指数</t>
  </si>
  <si>
    <t xml:space="preserve">敵HP指数</t>
  </si>
  <si>
    <t xml:space="preserve">敵攻撃係数</t>
  </si>
  <si>
    <t xml:space="preserve">平均ダメージ = 係数×Lv^指数</t>
  </si>
  <si>
    <t xml:space="preserve">敵攻撃指数</t>
  </si>
  <si>
    <t xml:space="preserve">ゴールド/XP比</t>
  </si>
  <si>
    <t xml:space="preserve">敵ゴールド = 敵XP×この比。序盤の現行値はやや富裕</t>
  </si>
  <si>
    <t xml:space="preserve">基準討伐ペース(体/時)</t>
  </si>
  <si>
    <t xml:space="preserve">快適に狩れている時の1時間あたり討伐数</t>
  </si>
  <si>
    <t xml:space="preserve">ボスXP倍率</t>
  </si>
  <si>
    <t xml:space="preserve">同Lv雑魚XPの何倍か(現行オニオウ・ガシャオウ実測≒3〜4倍)</t>
  </si>
  <si>
    <t xml:space="preserve">ボスHP倍率</t>
  </si>
  <si>
    <t xml:space="preserve">同Lv雑魚HPの何倍か</t>
  </si>
  <si>
    <t xml:space="preserve">デイリー報酬(時給比)</t>
  </si>
  <si>
    <t xml:space="preserve">デイリー1件=その帯の時給の25%(約15分ぶん)</t>
  </si>
  <si>
    <t xml:space="preserve">連続入庁恩賞(時給比)</t>
  </si>
  <si>
    <t xml:space="preserve">ログイン恩賞は時給の5%程度の軽さに</t>
  </si>
  <si>
    <t xml:space="preserve">次章装備の価格(時給倍率)</t>
  </si>
  <si>
    <t xml:space="preserve">次の店売り武器 ≈ 時給ゴールド×2(2時間で買える)</t>
  </si>
  <si>
    <t xml:space="preserve">徳位</t>
  </si>
  <si>
    <t xml:space="preserve">次Lvまで必要XP</t>
  </si>
  <si>
    <t xml:space="preserve">累計XP(このLv到達まで)</t>
  </si>
  <si>
    <t xml:space="preserve">敵XP目安</t>
  </si>
  <si>
    <t xml:space="preserve">敵HP目安</t>
  </si>
  <si>
    <t xml:space="preserve">敵平均攻撃目安</t>
  </si>
  <si>
    <t xml:space="preserve">敵ゴールド目安</t>
  </si>
  <si>
    <t xml:space="preserve">このLvの必要討伐数</t>
  </si>
  <si>
    <t xml:space="preserve">章</t>
  </si>
  <si>
    <t xml:space="preserve">地方(案)</t>
  </si>
  <si>
    <t xml:space="preserve">区数</t>
  </si>
  <si>
    <t xml:space="preserve">開始Lv</t>
  </si>
  <si>
    <t xml:space="preserve">終了Lv</t>
  </si>
  <si>
    <r>
      <rPr>
        <b val="true"/>
        <sz val="11"/>
        <color rgb="FFFFFFFF"/>
        <rFont val="Arial"/>
        <family val="0"/>
        <charset val="1"/>
      </rPr>
      <t xml:space="preserve">Lv</t>
    </r>
    <r>
      <rPr>
        <b val="true"/>
        <sz val="11"/>
        <color rgb="FFFFFFFF"/>
        <rFont val="Noto Sans CJK SC"/>
        <family val="2"/>
      </rPr>
      <t xml:space="preserve">数</t>
    </r>
  </si>
  <si>
    <t xml:space="preserve">区あたりLv</t>
  </si>
  <si>
    <t xml:space="preserve">章の必要XP</t>
  </si>
  <si>
    <t xml:space="preserve">必要討伐数</t>
  </si>
  <si>
    <t xml:space="preserve">討伐ペース補正</t>
  </si>
  <si>
    <t xml:space="preserve">想定時間(h)</t>
  </si>
  <si>
    <t xml:space="preserve">目標時間(h)</t>
  </si>
  <si>
    <t xml:space="preserve">判定</t>
  </si>
  <si>
    <t xml:space="preserve">四国(賽の森)</t>
  </si>
  <si>
    <t xml:space="preserve">近畿(輪廻大陸)</t>
  </si>
  <si>
    <t xml:space="preserve">中国</t>
  </si>
  <si>
    <t xml:space="preserve">九州・沖縄</t>
  </si>
  <si>
    <t xml:space="preserve">中部</t>
  </si>
  <si>
    <t xml:space="preserve">関東</t>
  </si>
  <si>
    <t xml:space="preserve">北海道</t>
  </si>
  <si>
    <t xml:space="preserve">東北(管理区外・ゴール)</t>
  </si>
  <si>
    <t xml:space="preserve">計</t>
  </si>
  <si>
    <t xml:space="preserve">討伐ペース補正: 後半ほど敵が固く移動が長くなる想定(1.0=基準ペース通り)。</t>
  </si>
  <si>
    <t xml:space="preserve">戦闘以外(物語・移動・買い物)の時間は含まない。実プレイはこの1.2〜1.4倍を見込む。</t>
  </si>
  <si>
    <t xml:space="preserve">帯中央Lv</t>
  </si>
  <si>
    <t xml:space="preserve">敵XP@中央</t>
  </si>
  <si>
    <t xml:space="preserve">敵ゴールド@中央</t>
  </si>
  <si>
    <t xml:space="preserve">時給XP</t>
  </si>
  <si>
    <t xml:space="preserve">時給モン</t>
  </si>
  <si>
    <t xml:space="preserve">デイリー討伐数(案)</t>
  </si>
  <si>
    <t xml:space="preserve">デイリー報酬XP</t>
  </si>
  <si>
    <t xml:space="preserve">デイリー報酬モン</t>
  </si>
  <si>
    <t xml:space="preserve">恩賞モン/日</t>
  </si>
  <si>
    <t xml:space="preserve">次章武器の価格目安</t>
  </si>
  <si>
    <t xml:space="preserve">ボスXP@章末</t>
  </si>
  <si>
    <t xml:space="preserve">ボスHP@章末</t>
  </si>
  <si>
    <t xml:space="preserve">デイリー報酬 = その帯の時給×25%。討伐10体のXP/ゴールド自体も入るので、体感は約20分ぶんの得。</t>
  </si>
  <si>
    <t xml:space="preserve">恩賞(ログインボーナス) = 時給×5%をモン換算した軽いもの。7日目だけ竜の血などの現物にする。</t>
  </si>
  <si>
    <t xml:space="preserve">現行1章の実値: 打刀120モン・大太刀400モン・甘露水S 30モン。1章の時給モン欄と整合を確認済み。</t>
  </si>
  <si>
    <t xml:space="preserve">目標強化値</t>
  </si>
  <si>
    <t xml:space="preserve">成功率(現行ENH_RATE)</t>
  </si>
  <si>
    <r>
      <rPr>
        <b val="true"/>
        <sz val="11"/>
        <color rgb="FFFFFFFF"/>
        <rFont val="Arial"/>
        <family val="0"/>
        <charset val="1"/>
      </rPr>
      <t xml:space="preserve">+0</t>
    </r>
    <r>
      <rPr>
        <b val="true"/>
        <sz val="11"/>
        <color rgb="FFFFFFFF"/>
        <rFont val="Noto Sans CJK SC"/>
        <family val="2"/>
      </rPr>
      <t xml:space="preserve">からの期待試行回数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巻物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</si>
  <si>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+1</t>
  </si>
  <si>
    <t xml:space="preserve">+2</t>
  </si>
  <si>
    <t xml:space="preserve">+3</t>
  </si>
  <si>
    <t xml:space="preserve">ここまで無料同然(100%)</t>
  </si>
  <si>
    <t xml:space="preserve">+4</t>
  </si>
  <si>
    <t xml:space="preserve">+5</t>
  </si>
  <si>
    <t xml:space="preserve">中堅の壁</t>
  </si>
  <si>
    <t xml:space="preserve">+6</t>
  </si>
  <si>
    <t xml:space="preserve">+7</t>
  </si>
  <si>
    <t xml:space="preserve">ここから竜の血も必要</t>
  </si>
  <si>
    <t xml:space="preserve">+8</t>
  </si>
  <si>
    <t xml:space="preserve">+9</t>
  </si>
  <si>
    <t xml:space="preserve">期待700枚超=事実上の生涯目標</t>
  </si>
  <si>
    <t xml:space="preserve">失敗すると+0に戻る現行仕様での、+0から目標値までの期待消費巻物数。</t>
  </si>
  <si>
    <t xml:space="preserve">巻物はボス7%ドロップなので、+9は期待1万体超のボス討伐に相当。+5〜+6が現実的な到達点。</t>
  </si>
  <si>
    <t xml:space="preserve">敵(現行実装)</t>
  </si>
  <si>
    <t xml:space="preserve">Lv</t>
  </si>
  <si>
    <t xml:space="preserve">実HP</t>
  </si>
  <si>
    <t xml:space="preserve">モデルHP</t>
  </si>
  <si>
    <r>
      <rPr>
        <b val="true"/>
        <sz val="11"/>
        <color rgb="FFFFFFFF"/>
        <rFont val="Arial"/>
        <family val="0"/>
        <charset val="1"/>
      </rPr>
      <t xml:space="preserve">HP</t>
    </r>
    <r>
      <rPr>
        <b val="true"/>
        <sz val="11"/>
        <color rgb="FFFFFFFF"/>
        <rFont val="Noto Sans CJK SC"/>
        <family val="2"/>
      </rPr>
      <t xml:space="preserve">乖離</t>
    </r>
  </si>
  <si>
    <t xml:space="preserve">実XP</t>
  </si>
  <si>
    <t xml:space="preserve">モデルXP</t>
  </si>
  <si>
    <r>
      <rPr>
        <b val="true"/>
        <sz val="11"/>
        <color rgb="FFFFFFFF"/>
        <rFont val="Arial"/>
        <family val="0"/>
        <charset val="1"/>
      </rPr>
      <t xml:space="preserve">XP</t>
    </r>
    <r>
      <rPr>
        <b val="true"/>
        <sz val="11"/>
        <color rgb="FFFFFFFF"/>
        <rFont val="Noto Sans CJK SC"/>
        <family val="2"/>
      </rPr>
      <t xml:space="preserve">乖離</t>
    </r>
  </si>
  <si>
    <t xml:space="preserve">実ゴールド平均</t>
  </si>
  <si>
    <t xml:space="preserve">モデルゴールド</t>
  </si>
  <si>
    <t xml:space="preserve">ボス?</t>
  </si>
  <si>
    <t xml:space="preserve">ガキ</t>
  </si>
  <si>
    <t xml:space="preserve">イヌガミ</t>
  </si>
  <si>
    <t xml:space="preserve">アカガキ</t>
  </si>
  <si>
    <t xml:space="preserve">アッキ</t>
  </si>
  <si>
    <t xml:space="preserve">ガシャドクロ</t>
  </si>
  <si>
    <t xml:space="preserve">アオオニ</t>
  </si>
  <si>
    <t xml:space="preserve">ボス</t>
  </si>
  <si>
    <t xml:space="preserve">ヤミイヌガミ</t>
  </si>
  <si>
    <t xml:space="preserve">オニビドクロ</t>
  </si>
  <si>
    <t xml:space="preserve">ゴズ</t>
  </si>
  <si>
    <t xml:space="preserve">オニオウ</t>
  </si>
  <si>
    <t xml:space="preserve">シラホネ</t>
  </si>
  <si>
    <t xml:space="preserve">キョウコツ</t>
  </si>
  <si>
    <t xml:space="preserve">オオドクロ</t>
  </si>
  <si>
    <t xml:space="preserve">ガシャオウ</t>
  </si>
  <si>
    <t xml:space="preserve">ゴウリュウ</t>
  </si>
  <si>
    <t xml:space="preserve">ゴウリュウのXP700はLv50表示に対し極端に低い(=周回農場化の防止と思われる)。設計意図として維持を推奨。</t>
  </si>
  <si>
    <t xml:space="preserve">乖離±40%以内なら実用上問題なし。系統的にずれるならパラメータの係数・指数を調整する。</t>
  </si>
  <si>
    <r>
      <rPr>
        <b val="true"/>
        <sz val="12"/>
        <rFont val="Noto Sans CJK SC"/>
        <family val="2"/>
      </rPr>
      <t xml:space="preserve">新強化仕様</t>
    </r>
    <r>
      <rPr>
        <b val="true"/>
        <sz val="12"/>
        <rFont val="Arial"/>
        <family val="0"/>
        <charset val="1"/>
      </rPr>
      <t xml:space="preserve">: </t>
    </r>
    <r>
      <rPr>
        <b val="true"/>
        <sz val="12"/>
        <rFont val="Noto Sans CJK SC"/>
        <family val="2"/>
      </rPr>
      <t xml:space="preserve">失敗しても</t>
    </r>
    <r>
      <rPr>
        <b val="true"/>
        <sz val="12"/>
        <rFont val="Arial"/>
        <family val="0"/>
        <charset val="1"/>
      </rPr>
      <t xml:space="preserve">+</t>
    </r>
    <r>
      <rPr>
        <b val="true"/>
        <sz val="12"/>
        <rFont val="Noto Sans CJK SC"/>
        <family val="2"/>
      </rPr>
      <t xml:space="preserve">値は維持、巻物だけ消費。上限なし</t>
    </r>
    <r>
      <rPr>
        <b val="true"/>
        <sz val="12"/>
        <rFont val="Arial"/>
        <family val="0"/>
        <charset val="1"/>
      </rPr>
      <t xml:space="preserve">(+16</t>
    </r>
    <r>
      <rPr>
        <b val="true"/>
        <sz val="12"/>
        <rFont val="Noto Sans CJK SC"/>
        <family val="2"/>
      </rPr>
      <t xml:space="preserve">以降は一律</t>
    </r>
    <r>
      <rPr>
        <b val="true"/>
        <sz val="12"/>
        <rFont val="Arial"/>
        <family val="0"/>
        <charset val="1"/>
      </rPr>
      <t xml:space="preserve">1%)</t>
    </r>
  </si>
  <si>
    <t xml:space="preserve">週間巻物入手目安</t>
  </si>
  <si>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ボスドロップ</t>
    </r>
    <r>
      <rPr>
        <sz val="11"/>
        <rFont val="Arial"/>
        <family val="0"/>
        <charset val="1"/>
      </rPr>
      <t xml:space="preserve">+</t>
    </r>
    <r>
      <rPr>
        <sz val="11"/>
        <rFont val="Noto Sans CJK SC"/>
        <family val="2"/>
      </rPr>
      <t xml:space="preserve">デイリーのかけら</t>
    </r>
    <r>
      <rPr>
        <sz val="11"/>
        <rFont val="Arial"/>
        <family val="0"/>
        <charset val="1"/>
      </rPr>
      <t xml:space="preserve">10</t>
    </r>
    <r>
      <rPr>
        <sz val="11"/>
        <rFont val="Noto Sans CJK SC"/>
        <family val="2"/>
      </rPr>
      <t xml:space="preserve">個</t>
    </r>
    <r>
      <rPr>
        <sz val="11"/>
        <rFont val="Arial"/>
        <family val="0"/>
        <charset val="1"/>
      </rPr>
      <t xml:space="preserve">=1</t>
    </r>
    <r>
      <rPr>
        <sz val="11"/>
        <rFont val="Noto Sans CJK SC"/>
        <family val="2"/>
      </rPr>
      <t xml:space="preserve">枚を想定</t>
    </r>
    <r>
      <rPr>
        <sz val="11"/>
        <rFont val="Arial"/>
        <family val="0"/>
        <charset val="1"/>
      </rPr>
      <t xml:space="preserve">)</t>
    </r>
  </si>
  <si>
    <t xml:space="preserve">強化値</t>
  </si>
  <si>
    <r>
      <rPr>
        <b val="true"/>
        <sz val="11"/>
        <color rgb="FFFFFFFF"/>
        <rFont val="Noto Sans CJK SC"/>
        <family val="2"/>
      </rPr>
      <t xml:space="preserve">成功率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案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</si>
  <si>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この</t>
    </r>
    <r>
      <rPr>
        <b val="true"/>
        <sz val="11"/>
        <color rgb="FFFFFFFF"/>
        <rFont val="Arial"/>
        <family val="0"/>
        <charset val="1"/>
      </rPr>
      <t xml:space="preserve">+1</t>
    </r>
    <r>
      <rPr>
        <b val="true"/>
        <sz val="11"/>
        <color rgb="FFFFFFFF"/>
        <rFont val="Noto Sans CJK SC"/>
        <family val="2"/>
      </rPr>
      <t xml:space="preserve">の期待巻物数</t>
    </r>
  </si>
  <si>
    <r>
      <rPr>
        <b val="true"/>
        <sz val="11"/>
        <color rgb="FFFFFFFF"/>
        <rFont val="Arial"/>
        <family val="0"/>
        <charset val="1"/>
      </rPr>
      <t xml:space="preserve">+0</t>
    </r>
    <r>
      <rPr>
        <b val="true"/>
        <sz val="11"/>
        <color rgb="FFFFFFFF"/>
        <rFont val="Noto Sans CJK SC"/>
        <family val="2"/>
      </rPr>
      <t xml:space="preserve">からの累計期待巻物数</t>
    </r>
  </si>
  <si>
    <r>
      <rPr>
        <b val="true"/>
        <sz val="11"/>
        <color rgb="FFFFFFFF"/>
        <rFont val="Noto Sans CJK SC"/>
        <family val="2"/>
      </rPr>
      <t xml:space="preserve">巻物週間入手目安で何週</t>
    </r>
    <r>
      <rPr>
        <b val="true"/>
        <sz val="11"/>
        <color rgb="FFFFFFFF"/>
        <rFont val="Arial"/>
        <family val="0"/>
        <charset val="1"/>
      </rPr>
      <t xml:space="preserve">?</t>
    </r>
  </si>
  <si>
    <t xml:space="preserve">ここまで確定</t>
  </si>
  <si>
    <t xml:space="preserve">中堅の到達点</t>
  </si>
  <si>
    <t xml:space="preserve">旧仕様の実質上限。新仕様では通過点に</t>
  </si>
  <si>
    <t xml:space="preserve">+10</t>
  </si>
  <si>
    <t xml:space="preserve">+11</t>
  </si>
  <si>
    <t xml:space="preserve">+12</t>
  </si>
  <si>
    <t xml:space="preserve">やり込み勢の勲章</t>
  </si>
  <si>
    <t xml:space="preserve">+13</t>
  </si>
  <si>
    <t xml:space="preserve">+14</t>
  </si>
  <si>
    <t xml:space="preserve">+15</t>
  </si>
  <si>
    <r>
      <rPr>
        <sz val="11"/>
        <rFont val="Noto Sans CJK SC"/>
        <family val="2"/>
      </rPr>
      <t xml:space="preserve">ここから先は一律</t>
    </r>
    <r>
      <rPr>
        <sz val="11"/>
        <rFont val="Arial"/>
        <family val="0"/>
        <charset val="1"/>
      </rPr>
      <t xml:space="preserve">1%</t>
    </r>
    <r>
      <rPr>
        <sz val="11"/>
        <rFont val="Noto Sans CJK SC"/>
        <family val="2"/>
      </rPr>
      <t xml:space="preserve">の無限峠</t>
    </r>
  </si>
  <si>
    <t xml:space="preserve">+16</t>
  </si>
  <si>
    <t xml:space="preserve">無限峠</t>
  </si>
  <si>
    <t xml:space="preserve">+17</t>
  </si>
  <si>
    <t xml:space="preserve">+18</t>
  </si>
  <si>
    <t xml:space="preserve">+19</t>
  </si>
  <si>
    <t xml:space="preserve">+20</t>
  </si>
  <si>
    <r>
      <rPr>
        <sz val="11"/>
        <rFont val="Noto Sans CJK SC"/>
        <family val="2"/>
      </rPr>
      <t xml:space="preserve">旧仕様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失敗で</t>
    </r>
    <r>
      <rPr>
        <sz val="11"/>
        <rFont val="Arial"/>
        <family val="0"/>
        <charset val="1"/>
      </rPr>
      <t xml:space="preserve">+0</t>
    </r>
    <r>
      <rPr>
        <sz val="11"/>
        <rFont val="Noto Sans CJK SC"/>
        <family val="2"/>
      </rPr>
      <t xml:space="preserve">戻り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の</t>
    </r>
    <r>
      <rPr>
        <sz val="11"/>
        <rFont val="Arial"/>
        <family val="0"/>
        <charset val="1"/>
      </rPr>
      <t xml:space="preserve">+9</t>
    </r>
    <r>
      <rPr>
        <sz val="11"/>
        <rFont val="Noto Sans CJK SC"/>
        <family val="2"/>
      </rPr>
      <t xml:space="preserve">は期待</t>
    </r>
    <r>
      <rPr>
        <sz val="11"/>
        <rFont val="Arial"/>
        <family val="0"/>
        <charset val="1"/>
      </rPr>
      <t xml:space="preserve">733</t>
    </r>
    <r>
      <rPr>
        <sz val="11"/>
        <rFont val="Noto Sans CJK SC"/>
        <family val="2"/>
      </rPr>
      <t xml:space="preserve">枚だった。新仕様では約</t>
    </r>
    <r>
      <rPr>
        <sz val="11"/>
        <rFont val="Arial"/>
        <family val="0"/>
        <charset val="1"/>
      </rPr>
      <t xml:space="preserve">18</t>
    </r>
    <r>
      <rPr>
        <sz val="11"/>
        <rFont val="Noto Sans CJK SC"/>
        <family val="2"/>
      </rPr>
      <t xml:space="preserve">枚で</t>
    </r>
    <r>
      <rPr>
        <sz val="11"/>
        <rFont val="Arial"/>
        <family val="0"/>
        <charset val="1"/>
      </rPr>
      <t xml:space="preserve">+9</t>
    </r>
    <r>
      <rPr>
        <sz val="11"/>
        <rFont val="Noto Sans CJK SC"/>
        <family val="2"/>
      </rPr>
      <t xml:space="preserve">、約</t>
    </r>
    <r>
      <rPr>
        <sz val="11"/>
        <rFont val="Arial"/>
        <family val="0"/>
        <charset val="1"/>
      </rPr>
      <t xml:space="preserve">152</t>
    </r>
    <r>
      <rPr>
        <sz val="11"/>
        <rFont val="Noto Sans CJK SC"/>
        <family val="2"/>
      </rPr>
      <t xml:space="preserve">枚で</t>
    </r>
    <r>
      <rPr>
        <sz val="11"/>
        <rFont val="Arial"/>
        <family val="0"/>
        <charset val="1"/>
      </rPr>
      <t xml:space="preserve">+15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</si>
  <si>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失敗しても進捗が消えないため「悔しさで辞める」が起きない。巻物消費は供給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週</t>
    </r>
    <r>
      <rPr>
        <sz val="11"/>
        <rFont val="Arial"/>
        <family val="0"/>
        <charset val="1"/>
      </rPr>
      <t xml:space="preserve">6</t>
    </r>
    <r>
      <rPr>
        <sz val="11"/>
        <rFont val="Noto Sans CJK SC"/>
        <family val="2"/>
      </rPr>
      <t xml:space="preserve">枚目安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で制御する。</t>
    </r>
  </si>
  <si>
    <r>
      <rPr>
        <sz val="11"/>
        <rFont val="Arial"/>
        <family val="0"/>
        <charset val="1"/>
      </rPr>
      <t xml:space="preserve">+16</t>
    </r>
    <r>
      <rPr>
        <sz val="11"/>
        <rFont val="Noto Sans CJK SC"/>
        <family val="2"/>
      </rPr>
      <t xml:space="preserve">以降は</t>
    </r>
    <r>
      <rPr>
        <sz val="11"/>
        <rFont val="Arial"/>
        <family val="0"/>
        <charset val="1"/>
      </rPr>
      <t xml:space="preserve">1%</t>
    </r>
    <r>
      <rPr>
        <sz val="11"/>
        <rFont val="Noto Sans CJK SC"/>
        <family val="2"/>
      </rPr>
      <t xml:space="preserve">固定</t>
    </r>
    <r>
      <rPr>
        <sz val="11"/>
        <rFont val="Arial"/>
        <family val="0"/>
        <charset val="1"/>
      </rPr>
      <t xml:space="preserve">=1</t>
    </r>
    <r>
      <rPr>
        <sz val="11"/>
        <rFont val="Noto Sans CJK SC"/>
        <family val="2"/>
      </rPr>
      <t xml:space="preserve">段あたり期待</t>
    </r>
    <r>
      <rPr>
        <sz val="11"/>
        <rFont val="Arial"/>
        <family val="0"/>
        <charset val="1"/>
      </rPr>
      <t xml:space="preserve">100</t>
    </r>
    <r>
      <rPr>
        <sz val="11"/>
        <rFont val="Noto Sans CJK SC"/>
        <family val="2"/>
      </rPr>
      <t xml:space="preserve">枚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約</t>
    </r>
    <r>
      <rPr>
        <sz val="11"/>
        <rFont val="Arial"/>
        <family val="0"/>
        <charset val="1"/>
      </rPr>
      <t xml:space="preserve">17</t>
    </r>
    <r>
      <rPr>
        <sz val="11"/>
        <rFont val="Noto Sans CJK SC"/>
        <family val="2"/>
      </rPr>
      <t xml:space="preserve">週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。文字通り終わらない目標として機能する。</t>
    </r>
  </si>
  <si>
    <r>
      <rPr>
        <sz val="11"/>
        <rFont val="Noto Sans CJK SC"/>
        <family val="2"/>
      </rPr>
      <t xml:space="preserve">武器</t>
    </r>
    <r>
      <rPr>
        <sz val="11"/>
        <rFont val="Arial"/>
        <family val="0"/>
        <charset val="1"/>
      </rPr>
      <t xml:space="preserve">+7</t>
    </r>
    <r>
      <rPr>
        <sz val="11"/>
        <rFont val="Noto Sans CJK SC"/>
        <family val="2"/>
      </rPr>
      <t xml:space="preserve">以降の竜の血要求は維持。</t>
    </r>
    <r>
      <rPr>
        <sz val="11"/>
        <rFont val="Arial"/>
        <family val="0"/>
        <charset val="1"/>
      </rPr>
      <t xml:space="preserve">+10</t>
    </r>
    <r>
      <rPr>
        <sz val="11"/>
        <rFont val="Noto Sans CJK SC"/>
        <family val="2"/>
      </rPr>
      <t xml:space="preserve">以降は章ボス素材も追加要求すると、過去章のボスに価値が残る。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</si>
</sst>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"/>
    <numFmt numFmtId="167" formatCode="0.00"/>
    <numFmt numFmtId="168" formatCode="0%"/>
    <numFmt numFmtId="169" formatCode="#,##0.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Noto Sans CJK SC"/>
      <family val="2"/>
      <charset val="1"/>
    </font>
    <font>
      <sz val="11"/>
      <name val="Arial"/>
      <family val="0"/>
      <charset val="1"/>
    </font>
    <font>
      <sz val="11"/>
      <name val="Noto Sans CJK SC"/>
      <family val="2"/>
      <charset val="1"/>
    </font>
    <font>
      <b val="true"/>
      <sz val="11"/>
      <name val="Noto Sans CJK SC"/>
      <family val="2"/>
      <charset val="1"/>
    </font>
    <font>
      <b val="true"/>
      <sz val="11"/>
      <color rgb="FFFFFFFF"/>
      <name val="Noto Sans CJK SC"/>
      <family val="2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  <font>
      <sz val="11"/>
      <color rgb="FF0000FF"/>
      <name val="Noto Sans CJK SC"/>
      <family val="2"/>
      <charset val="1"/>
    </font>
    <font>
      <b val="true"/>
      <sz val="11"/>
      <name val="Arial"/>
      <family val="0"/>
      <charset val="1"/>
    </font>
    <font>
      <b val="true"/>
      <sz val="12"/>
      <name val="Noto Sans CJK SC"/>
      <family val="2"/>
    </font>
    <font>
      <b val="true"/>
      <sz val="12"/>
      <name val="Arial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FFF9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0"/>
  </cols>
  <sheetData>
    <row r="1" customFormat="false" ht="23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16.5" hidden="false" customHeight="true" outlineLevel="0" collapsed="false">
      <c r="A3" s="4" t="s">
        <v>1</v>
      </c>
    </row>
    <row r="4" customFormat="false" ht="15" hidden="false" customHeight="true" outlineLevel="0" collapsed="false">
      <c r="A4" s="3"/>
    </row>
    <row r="5" customFormat="false" ht="15" hidden="false" customHeight="true" outlineLevel="0" collapsed="false">
      <c r="A5" s="5" t="s">
        <v>2</v>
      </c>
    </row>
    <row r="6" customFormat="false" ht="16.5" hidden="false" customHeight="true" outlineLevel="0" collapsed="false">
      <c r="A6" s="4" t="s">
        <v>3</v>
      </c>
    </row>
    <row r="7" customFormat="false" ht="16.5" hidden="false" customHeight="true" outlineLevel="0" collapsed="false">
      <c r="A7" s="4" t="s">
        <v>4</v>
      </c>
    </row>
    <row r="8" customFormat="false" ht="15" hidden="false" customHeight="true" outlineLevel="0" collapsed="false">
      <c r="A8" s="3"/>
    </row>
    <row r="9" customFormat="false" ht="15" hidden="false" customHeight="true" outlineLevel="0" collapsed="false">
      <c r="A9" s="5" t="s">
        <v>5</v>
      </c>
    </row>
    <row r="10" customFormat="false" ht="15" hidden="false" customHeight="true" outlineLevel="0" collapsed="false">
      <c r="A10" s="4" t="s">
        <v>6</v>
      </c>
    </row>
    <row r="11" customFormat="false" ht="16.5" hidden="false" customHeight="true" outlineLevel="0" collapsed="false">
      <c r="A11" s="4" t="s">
        <v>7</v>
      </c>
    </row>
    <row r="12" customFormat="false" ht="16.5" hidden="false" customHeight="true" outlineLevel="0" collapsed="false">
      <c r="A12" s="4" t="s">
        <v>8</v>
      </c>
    </row>
    <row r="13" customFormat="false" ht="16.5" hidden="false" customHeight="true" outlineLevel="0" collapsed="false">
      <c r="A13" s="4" t="s">
        <v>9</v>
      </c>
    </row>
    <row r="14" customFormat="false" ht="16.5" hidden="false" customHeight="true" outlineLevel="0" collapsed="false">
      <c r="A14" s="4" t="s">
        <v>10</v>
      </c>
    </row>
    <row r="15" customFormat="false" ht="16.5" hidden="false" customHeight="true" outlineLevel="0" collapsed="false">
      <c r="A15" s="4" t="s">
        <v>11</v>
      </c>
    </row>
    <row r="16" customFormat="false" ht="15" hidden="false" customHeight="true" outlineLevel="0" collapsed="false">
      <c r="A16" s="3"/>
    </row>
    <row r="17" customFormat="false" ht="15" hidden="false" customHeight="true" outlineLevel="0" collapsed="false">
      <c r="A17" s="5" t="s">
        <v>12</v>
      </c>
    </row>
    <row r="18" customFormat="false" ht="16.5" hidden="false" customHeight="true" outlineLevel="0" collapsed="false">
      <c r="A18" s="4" t="s">
        <v>13</v>
      </c>
    </row>
    <row r="19" customFormat="false" ht="16.5" hidden="false" customHeight="true" outlineLevel="0" collapsed="false">
      <c r="A19" s="4" t="s">
        <v>14</v>
      </c>
    </row>
    <row r="20" customFormat="false" ht="15" hidden="false" customHeight="true" outlineLevel="0" collapsed="false">
      <c r="A20" s="3"/>
    </row>
    <row r="21" customFormat="false" ht="16.5" hidden="false" customHeight="true" outlineLevel="0" collapsed="false">
      <c r="A21" s="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0"/>
    <col collapsed="false" customWidth="true" hidden="false" outlineLevel="0" max="3" min="3" style="1" width="52"/>
  </cols>
  <sheetData>
    <row r="1" customFormat="false" ht="16.5" hidden="false" customHeight="true" outlineLevel="0" collapsed="false">
      <c r="A1" s="6" t="s">
        <v>16</v>
      </c>
      <c r="B1" s="6" t="s">
        <v>17</v>
      </c>
      <c r="C1" s="6" t="s">
        <v>18</v>
      </c>
    </row>
    <row r="2" customFormat="false" ht="16.5" hidden="false" customHeight="true" outlineLevel="0" collapsed="false">
      <c r="A2" s="7" t="s">
        <v>19</v>
      </c>
      <c r="B2" s="8" t="n">
        <v>80</v>
      </c>
      <c r="C2" s="9" t="s">
        <v>20</v>
      </c>
    </row>
    <row r="3" customFormat="false" ht="16.5" hidden="false" customHeight="true" outlineLevel="0" collapsed="false">
      <c r="A3" s="7" t="s">
        <v>21</v>
      </c>
      <c r="B3" s="8" t="n">
        <v>50</v>
      </c>
      <c r="C3" s="9" t="s">
        <v>22</v>
      </c>
    </row>
    <row r="4" customFormat="false" ht="16.5" hidden="false" customHeight="true" outlineLevel="0" collapsed="false">
      <c r="A4" s="7" t="s">
        <v>23</v>
      </c>
      <c r="B4" s="8" t="n">
        <v>1.9</v>
      </c>
      <c r="C4" s="9" t="s">
        <v>24</v>
      </c>
    </row>
    <row r="5" customFormat="false" ht="16.5" hidden="false" customHeight="true" outlineLevel="0" collapsed="false">
      <c r="A5" s="7" t="s">
        <v>25</v>
      </c>
      <c r="B5" s="8" t="n">
        <v>16</v>
      </c>
      <c r="C5" s="9" t="s">
        <v>26</v>
      </c>
    </row>
    <row r="6" customFormat="false" ht="16.5" hidden="false" customHeight="true" outlineLevel="0" collapsed="false">
      <c r="A6" s="7" t="s">
        <v>27</v>
      </c>
      <c r="B6" s="8" t="n">
        <v>1.1</v>
      </c>
      <c r="C6" s="9" t="s">
        <v>28</v>
      </c>
    </row>
    <row r="7" customFormat="false" ht="16.5" hidden="false" customHeight="true" outlineLevel="0" collapsed="false">
      <c r="A7" s="7" t="s">
        <v>29</v>
      </c>
      <c r="B7" s="8" t="n">
        <v>25</v>
      </c>
      <c r="C7" s="9" t="s">
        <v>30</v>
      </c>
    </row>
    <row r="8" customFormat="false" ht="16.5" hidden="false" customHeight="true" outlineLevel="0" collapsed="false">
      <c r="A8" s="7" t="s">
        <v>31</v>
      </c>
      <c r="B8" s="8" t="n">
        <v>1.1</v>
      </c>
      <c r="C8" s="9"/>
    </row>
    <row r="9" customFormat="false" ht="16.5" hidden="false" customHeight="true" outlineLevel="0" collapsed="false">
      <c r="A9" s="7" t="s">
        <v>32</v>
      </c>
      <c r="B9" s="8" t="n">
        <v>4.5</v>
      </c>
      <c r="C9" s="9" t="s">
        <v>33</v>
      </c>
    </row>
    <row r="10" customFormat="false" ht="15" hidden="false" customHeight="true" outlineLevel="0" collapsed="false">
      <c r="A10" s="7" t="s">
        <v>34</v>
      </c>
      <c r="B10" s="8" t="n">
        <v>0.78</v>
      </c>
      <c r="C10" s="9"/>
    </row>
    <row r="11" customFormat="false" ht="16.5" hidden="false" customHeight="true" outlineLevel="0" collapsed="false">
      <c r="A11" s="7" t="s">
        <v>35</v>
      </c>
      <c r="B11" s="8" t="n">
        <v>0.2</v>
      </c>
      <c r="C11" s="9" t="s">
        <v>36</v>
      </c>
    </row>
    <row r="12" customFormat="false" ht="16.5" hidden="false" customHeight="true" outlineLevel="0" collapsed="false">
      <c r="A12" s="7" t="s">
        <v>37</v>
      </c>
      <c r="B12" s="8" t="n">
        <v>100</v>
      </c>
      <c r="C12" s="9" t="s">
        <v>38</v>
      </c>
    </row>
    <row r="13" customFormat="false" ht="16.5" hidden="false" customHeight="true" outlineLevel="0" collapsed="false">
      <c r="A13" s="7" t="s">
        <v>39</v>
      </c>
      <c r="B13" s="8" t="n">
        <v>4</v>
      </c>
      <c r="C13" s="9" t="s">
        <v>40</v>
      </c>
    </row>
    <row r="14" customFormat="false" ht="16.5" hidden="false" customHeight="true" outlineLevel="0" collapsed="false">
      <c r="A14" s="7" t="s">
        <v>41</v>
      </c>
      <c r="B14" s="8" t="n">
        <v>6</v>
      </c>
      <c r="C14" s="9" t="s">
        <v>42</v>
      </c>
    </row>
    <row r="15" customFormat="false" ht="16.5" hidden="false" customHeight="true" outlineLevel="0" collapsed="false">
      <c r="A15" s="7" t="s">
        <v>43</v>
      </c>
      <c r="B15" s="8" t="n">
        <v>0.25</v>
      </c>
      <c r="C15" s="9" t="s">
        <v>44</v>
      </c>
    </row>
    <row r="16" customFormat="false" ht="16.5" hidden="false" customHeight="true" outlineLevel="0" collapsed="false">
      <c r="A16" s="7" t="s">
        <v>45</v>
      </c>
      <c r="B16" s="8" t="n">
        <v>0.05</v>
      </c>
      <c r="C16" s="9" t="s">
        <v>46</v>
      </c>
    </row>
    <row r="17" customFormat="false" ht="16.5" hidden="false" customHeight="true" outlineLevel="0" collapsed="false">
      <c r="A17" s="7" t="s">
        <v>47</v>
      </c>
      <c r="B17" s="8" t="n">
        <v>2</v>
      </c>
      <c r="C17" s="9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5"/>
    <col collapsed="false" customWidth="true" hidden="false" outlineLevel="0" max="3" min="3" style="1" width="20"/>
    <col collapsed="false" customWidth="true" hidden="false" outlineLevel="0" max="5" min="4" style="1" width="11"/>
    <col collapsed="false" customWidth="true" hidden="false" outlineLevel="0" max="7" min="6" style="1" width="13"/>
    <col collapsed="false" customWidth="true" hidden="false" outlineLevel="0" max="8" min="8" style="1" width="15"/>
  </cols>
  <sheetData>
    <row r="1" customFormat="false" ht="32.25" hidden="false" customHeight="true" outlineLevel="0" collapsed="false">
      <c r="A1" s="6" t="s">
        <v>49</v>
      </c>
      <c r="B1" s="6" t="s">
        <v>50</v>
      </c>
      <c r="C1" s="6" t="s">
        <v>51</v>
      </c>
      <c r="D1" s="6" t="s">
        <v>52</v>
      </c>
      <c r="E1" s="6" t="s">
        <v>53</v>
      </c>
      <c r="F1" s="6" t="s">
        <v>54</v>
      </c>
      <c r="G1" s="6" t="s">
        <v>55</v>
      </c>
      <c r="H1" s="6" t="s">
        <v>56</v>
      </c>
    </row>
    <row r="2" customFormat="false" ht="15" hidden="false" customHeight="true" outlineLevel="0" collapsed="false">
      <c r="A2" s="9" t="n">
        <v>1</v>
      </c>
      <c r="B2" s="10" t="n">
        <f aca="false">ROUND(パラメータ!$B$3*A2^パラメータ!$B$4,0)</f>
        <v>50</v>
      </c>
      <c r="C2" s="10" t="n">
        <f aca="false">0</f>
        <v>0</v>
      </c>
      <c r="D2" s="10" t="n">
        <f aca="false">ROUND(パラメータ!$B$5*A2^パラメータ!$B$6,0)</f>
        <v>16</v>
      </c>
      <c r="E2" s="10" t="n">
        <f aca="false">ROUND(パラメータ!$B$7*A2^パラメータ!$B$8,0)</f>
        <v>25</v>
      </c>
      <c r="F2" s="11" t="n">
        <f aca="false">ROUND(パラメータ!$B$9*A2^パラメータ!$B$10,1)</f>
        <v>4.5</v>
      </c>
      <c r="G2" s="10" t="n">
        <f aca="false">ROUND(D2*パラメータ!$B$11,0)</f>
        <v>3</v>
      </c>
      <c r="H2" s="10" t="n">
        <f aca="false">ROUND(B2/D2,0)</f>
        <v>3</v>
      </c>
    </row>
    <row r="3" customFormat="false" ht="15" hidden="false" customHeight="true" outlineLevel="0" collapsed="false">
      <c r="A3" s="9" t="n">
        <v>2</v>
      </c>
      <c r="B3" s="10" t="n">
        <f aca="false">ROUND(パラメータ!$B$3*A3^パラメータ!$B$4,0)</f>
        <v>187</v>
      </c>
      <c r="C3" s="10" t="n">
        <f aca="false">C2+B2</f>
        <v>50</v>
      </c>
      <c r="D3" s="10" t="n">
        <f aca="false">ROUND(パラメータ!$B$5*A3^パラメータ!$B$6,0)</f>
        <v>34</v>
      </c>
      <c r="E3" s="10" t="n">
        <f aca="false">ROUND(パラメータ!$B$7*A3^パラメータ!$B$8,0)</f>
        <v>54</v>
      </c>
      <c r="F3" s="11" t="n">
        <f aca="false">ROUND(パラメータ!$B$9*A3^パラメータ!$B$10,1)</f>
        <v>7.7</v>
      </c>
      <c r="G3" s="10" t="n">
        <f aca="false">ROUND(D3*パラメータ!$B$11,0)</f>
        <v>7</v>
      </c>
      <c r="H3" s="10" t="n">
        <f aca="false">ROUND(B3/D3,0)</f>
        <v>6</v>
      </c>
    </row>
    <row r="4" customFormat="false" ht="15" hidden="false" customHeight="true" outlineLevel="0" collapsed="false">
      <c r="A4" s="9" t="n">
        <v>3</v>
      </c>
      <c r="B4" s="10" t="n">
        <f aca="false">ROUND(パラメータ!$B$3*A4^パラメータ!$B$4,0)</f>
        <v>403</v>
      </c>
      <c r="C4" s="10" t="n">
        <f aca="false">C3+B3</f>
        <v>237</v>
      </c>
      <c r="D4" s="10" t="n">
        <f aca="false">ROUND(パラメータ!$B$5*A4^パラメータ!$B$6,0)</f>
        <v>54</v>
      </c>
      <c r="E4" s="10" t="n">
        <f aca="false">ROUND(パラメータ!$B$7*A4^パラメータ!$B$8,0)</f>
        <v>84</v>
      </c>
      <c r="F4" s="11" t="n">
        <f aca="false">ROUND(パラメータ!$B$9*A4^パラメータ!$B$10,1)</f>
        <v>10.6</v>
      </c>
      <c r="G4" s="10" t="n">
        <f aca="false">ROUND(D4*パラメータ!$B$11,0)</f>
        <v>11</v>
      </c>
      <c r="H4" s="10" t="n">
        <f aca="false">ROUND(B4/D4,0)</f>
        <v>7</v>
      </c>
    </row>
    <row r="5" customFormat="false" ht="15" hidden="false" customHeight="true" outlineLevel="0" collapsed="false">
      <c r="A5" s="9" t="n">
        <v>4</v>
      </c>
      <c r="B5" s="10" t="n">
        <f aca="false">ROUND(パラメータ!$B$3*A5^パラメータ!$B$4,0)</f>
        <v>696</v>
      </c>
      <c r="C5" s="10" t="n">
        <f aca="false">C4+B4</f>
        <v>640</v>
      </c>
      <c r="D5" s="10" t="n">
        <f aca="false">ROUND(パラメータ!$B$5*A5^パラメータ!$B$6,0)</f>
        <v>74</v>
      </c>
      <c r="E5" s="10" t="n">
        <f aca="false">ROUND(パラメータ!$B$7*A5^パラメータ!$B$8,0)</f>
        <v>115</v>
      </c>
      <c r="F5" s="11" t="n">
        <f aca="false">ROUND(パラメータ!$B$9*A5^パラメータ!$B$10,1)</f>
        <v>13.3</v>
      </c>
      <c r="G5" s="10" t="n">
        <f aca="false">ROUND(D5*パラメータ!$B$11,0)</f>
        <v>15</v>
      </c>
      <c r="H5" s="10" t="n">
        <f aca="false">ROUND(B5/D5,0)</f>
        <v>9</v>
      </c>
    </row>
    <row r="6" customFormat="false" ht="15" hidden="false" customHeight="true" outlineLevel="0" collapsed="false">
      <c r="A6" s="9" t="n">
        <v>5</v>
      </c>
      <c r="B6" s="10" t="n">
        <f aca="false">ROUND(パラメータ!$B$3*A6^パラメータ!$B$4,0)</f>
        <v>1064</v>
      </c>
      <c r="C6" s="10" t="n">
        <f aca="false">C5+B5</f>
        <v>1336</v>
      </c>
      <c r="D6" s="10" t="n">
        <f aca="false">ROUND(パラメータ!$B$5*A6^パラメータ!$B$6,0)</f>
        <v>94</v>
      </c>
      <c r="E6" s="10" t="n">
        <f aca="false">ROUND(パラメータ!$B$7*A6^パラメータ!$B$8,0)</f>
        <v>147</v>
      </c>
      <c r="F6" s="11" t="n">
        <f aca="false">ROUND(パラメータ!$B$9*A6^パラメータ!$B$10,1)</f>
        <v>15.8</v>
      </c>
      <c r="G6" s="10" t="n">
        <f aca="false">ROUND(D6*パラメータ!$B$11,0)</f>
        <v>19</v>
      </c>
      <c r="H6" s="10" t="n">
        <f aca="false">ROUND(B6/D6,0)</f>
        <v>11</v>
      </c>
    </row>
    <row r="7" customFormat="false" ht="15" hidden="false" customHeight="true" outlineLevel="0" collapsed="false">
      <c r="A7" s="9" t="n">
        <v>6</v>
      </c>
      <c r="B7" s="10" t="n">
        <f aca="false">ROUND(パラメータ!$B$3*A7^パラメータ!$B$4,0)</f>
        <v>1505</v>
      </c>
      <c r="C7" s="10" t="n">
        <f aca="false">C6+B6</f>
        <v>2400</v>
      </c>
      <c r="D7" s="10" t="n">
        <f aca="false">ROUND(パラメータ!$B$5*A7^パラメータ!$B$6,0)</f>
        <v>115</v>
      </c>
      <c r="E7" s="10" t="n">
        <f aca="false">ROUND(パラメータ!$B$7*A7^パラメータ!$B$8,0)</f>
        <v>179</v>
      </c>
      <c r="F7" s="11" t="n">
        <f aca="false">ROUND(パラメータ!$B$9*A7^パラメータ!$B$10,1)</f>
        <v>18.2</v>
      </c>
      <c r="G7" s="10" t="n">
        <f aca="false">ROUND(D7*パラメータ!$B$11,0)</f>
        <v>23</v>
      </c>
      <c r="H7" s="10" t="n">
        <f aca="false">ROUND(B7/D7,0)</f>
        <v>13</v>
      </c>
    </row>
    <row r="8" customFormat="false" ht="15" hidden="false" customHeight="true" outlineLevel="0" collapsed="false">
      <c r="A8" s="9" t="n">
        <v>7</v>
      </c>
      <c r="B8" s="10" t="n">
        <f aca="false">ROUND(パラメータ!$B$3*A8^パラメータ!$B$4,0)</f>
        <v>2017</v>
      </c>
      <c r="C8" s="10" t="n">
        <f aca="false">C7+B7</f>
        <v>3905</v>
      </c>
      <c r="D8" s="10" t="n">
        <f aca="false">ROUND(パラメータ!$B$5*A8^パラメータ!$B$6,0)</f>
        <v>136</v>
      </c>
      <c r="E8" s="10" t="n">
        <f aca="false">ROUND(パラメータ!$B$7*A8^パラメータ!$B$8,0)</f>
        <v>213</v>
      </c>
      <c r="F8" s="11" t="n">
        <f aca="false">ROUND(パラメータ!$B$9*A8^パラメータ!$B$10,1)</f>
        <v>20.5</v>
      </c>
      <c r="G8" s="10" t="n">
        <f aca="false">ROUND(D8*パラメータ!$B$11,0)</f>
        <v>27</v>
      </c>
      <c r="H8" s="10" t="n">
        <f aca="false">ROUND(B8/D8,0)</f>
        <v>15</v>
      </c>
    </row>
    <row r="9" customFormat="false" ht="15" hidden="false" customHeight="true" outlineLevel="0" collapsed="false">
      <c r="A9" s="9" t="n">
        <v>8</v>
      </c>
      <c r="B9" s="10" t="n">
        <f aca="false">ROUND(パラメータ!$B$3*A9^パラメータ!$B$4,0)</f>
        <v>2599</v>
      </c>
      <c r="C9" s="10" t="n">
        <f aca="false">C8+B8</f>
        <v>5922</v>
      </c>
      <c r="D9" s="10" t="n">
        <f aca="false">ROUND(パラメータ!$B$5*A9^パラメータ!$B$6,0)</f>
        <v>158</v>
      </c>
      <c r="E9" s="10" t="n">
        <f aca="false">ROUND(パラメータ!$B$7*A9^パラメータ!$B$8,0)</f>
        <v>246</v>
      </c>
      <c r="F9" s="11" t="n">
        <f aca="false">ROUND(パラメータ!$B$9*A9^パラメータ!$B$10,1)</f>
        <v>22.8</v>
      </c>
      <c r="G9" s="10" t="n">
        <f aca="false">ROUND(D9*パラメータ!$B$11,0)</f>
        <v>32</v>
      </c>
      <c r="H9" s="10" t="n">
        <f aca="false">ROUND(B9/D9,0)</f>
        <v>16</v>
      </c>
    </row>
    <row r="10" customFormat="false" ht="15" hidden="false" customHeight="true" outlineLevel="0" collapsed="false">
      <c r="A10" s="9" t="n">
        <v>9</v>
      </c>
      <c r="B10" s="10" t="n">
        <f aca="false">ROUND(パラメータ!$B$3*A10^パラメータ!$B$4,0)</f>
        <v>3251</v>
      </c>
      <c r="C10" s="10" t="n">
        <f aca="false">C9+B9</f>
        <v>8521</v>
      </c>
      <c r="D10" s="10" t="n">
        <f aca="false">ROUND(パラメータ!$B$5*A10^パラメータ!$B$6,0)</f>
        <v>179</v>
      </c>
      <c r="E10" s="10" t="n">
        <f aca="false">ROUND(パラメータ!$B$7*A10^パラメータ!$B$8,0)</f>
        <v>280</v>
      </c>
      <c r="F10" s="11" t="n">
        <f aca="false">ROUND(パラメータ!$B$9*A10^パラメータ!$B$10,1)</f>
        <v>25</v>
      </c>
      <c r="G10" s="10" t="n">
        <f aca="false">ROUND(D10*パラメータ!$B$11,0)</f>
        <v>36</v>
      </c>
      <c r="H10" s="10" t="n">
        <f aca="false">ROUND(B10/D10,0)</f>
        <v>18</v>
      </c>
    </row>
    <row r="11" customFormat="false" ht="15" hidden="false" customHeight="true" outlineLevel="0" collapsed="false">
      <c r="A11" s="9" t="n">
        <v>10</v>
      </c>
      <c r="B11" s="10" t="n">
        <f aca="false">ROUND(パラメータ!$B$3*A11^パラメータ!$B$4,0)</f>
        <v>3972</v>
      </c>
      <c r="C11" s="10" t="n">
        <f aca="false">C10+B10</f>
        <v>11772</v>
      </c>
      <c r="D11" s="10" t="n">
        <f aca="false">ROUND(パラメータ!$B$5*A11^パラメータ!$B$6,0)</f>
        <v>201</v>
      </c>
      <c r="E11" s="10" t="n">
        <f aca="false">ROUND(パラメータ!$B$7*A11^パラメータ!$B$8,0)</f>
        <v>315</v>
      </c>
      <c r="F11" s="11" t="n">
        <f aca="false">ROUND(パラメータ!$B$9*A11^パラメータ!$B$10,1)</f>
        <v>27.1</v>
      </c>
      <c r="G11" s="10" t="n">
        <f aca="false">ROUND(D11*パラメータ!$B$11,0)</f>
        <v>40</v>
      </c>
      <c r="H11" s="10" t="n">
        <f aca="false">ROUND(B11/D11,0)</f>
        <v>20</v>
      </c>
    </row>
    <row r="12" customFormat="false" ht="15" hidden="false" customHeight="true" outlineLevel="0" collapsed="false">
      <c r="A12" s="9" t="n">
        <v>11</v>
      </c>
      <c r="B12" s="10" t="n">
        <f aca="false">ROUND(パラメータ!$B$3*A12^パラメータ!$B$4,0)</f>
        <v>4760</v>
      </c>
      <c r="C12" s="10" t="n">
        <f aca="false">C11+B11</f>
        <v>15744</v>
      </c>
      <c r="D12" s="10" t="n">
        <f aca="false">ROUND(パラメータ!$B$5*A12^パラメータ!$B$6,0)</f>
        <v>224</v>
      </c>
      <c r="E12" s="10" t="n">
        <f aca="false">ROUND(パラメータ!$B$7*A12^パラメータ!$B$8,0)</f>
        <v>350</v>
      </c>
      <c r="F12" s="11" t="n">
        <f aca="false">ROUND(パラメータ!$B$9*A12^パラメータ!$B$10,1)</f>
        <v>29.2</v>
      </c>
      <c r="G12" s="10" t="n">
        <f aca="false">ROUND(D12*パラメータ!$B$11,0)</f>
        <v>45</v>
      </c>
      <c r="H12" s="10" t="n">
        <f aca="false">ROUND(B12/D12,0)</f>
        <v>21</v>
      </c>
    </row>
    <row r="13" customFormat="false" ht="15" hidden="false" customHeight="true" outlineLevel="0" collapsed="false">
      <c r="A13" s="9" t="n">
        <v>12</v>
      </c>
      <c r="B13" s="10" t="n">
        <f aca="false">ROUND(パラメータ!$B$3*A13^パラメータ!$B$4,0)</f>
        <v>5616</v>
      </c>
      <c r="C13" s="10" t="n">
        <f aca="false">C12+B12</f>
        <v>20504</v>
      </c>
      <c r="D13" s="10" t="n">
        <f aca="false">ROUND(パラメータ!$B$5*A13^パラメータ!$B$6,0)</f>
        <v>246</v>
      </c>
      <c r="E13" s="10" t="n">
        <f aca="false">ROUND(パラメータ!$B$7*A13^パラメータ!$B$8,0)</f>
        <v>385</v>
      </c>
      <c r="F13" s="11" t="n">
        <f aca="false">ROUND(パラメータ!$B$9*A13^パラメータ!$B$10,1)</f>
        <v>31.3</v>
      </c>
      <c r="G13" s="10" t="n">
        <f aca="false">ROUND(D13*パラメータ!$B$11,0)</f>
        <v>49</v>
      </c>
      <c r="H13" s="10" t="n">
        <f aca="false">ROUND(B13/D13,0)</f>
        <v>23</v>
      </c>
    </row>
    <row r="14" customFormat="false" ht="15" hidden="false" customHeight="true" outlineLevel="0" collapsed="false">
      <c r="A14" s="9" t="n">
        <v>13</v>
      </c>
      <c r="B14" s="10" t="n">
        <f aca="false">ROUND(パラメータ!$B$3*A14^パラメータ!$B$4,0)</f>
        <v>6538</v>
      </c>
      <c r="C14" s="10" t="n">
        <f aca="false">C13+B13</f>
        <v>26120</v>
      </c>
      <c r="D14" s="10" t="n">
        <f aca="false">ROUND(パラメータ!$B$5*A14^パラメータ!$B$6,0)</f>
        <v>269</v>
      </c>
      <c r="E14" s="10" t="n">
        <f aca="false">ROUND(パラメータ!$B$7*A14^パラメータ!$B$8,0)</f>
        <v>420</v>
      </c>
      <c r="F14" s="11" t="n">
        <f aca="false">ROUND(パラメータ!$B$9*A14^パラメータ!$B$10,1)</f>
        <v>33.3</v>
      </c>
      <c r="G14" s="10" t="n">
        <f aca="false">ROUND(D14*パラメータ!$B$11,0)</f>
        <v>54</v>
      </c>
      <c r="H14" s="10" t="n">
        <f aca="false">ROUND(B14/D14,0)</f>
        <v>24</v>
      </c>
    </row>
    <row r="15" customFormat="false" ht="15" hidden="false" customHeight="true" outlineLevel="0" collapsed="false">
      <c r="A15" s="9" t="n">
        <v>14</v>
      </c>
      <c r="B15" s="10" t="n">
        <f aca="false">ROUND(パラメータ!$B$3*A15^パラメータ!$B$4,0)</f>
        <v>7527</v>
      </c>
      <c r="C15" s="10" t="n">
        <f aca="false">C14+B14</f>
        <v>32658</v>
      </c>
      <c r="D15" s="10" t="n">
        <f aca="false">ROUND(パラメータ!$B$5*A15^パラメータ!$B$6,0)</f>
        <v>292</v>
      </c>
      <c r="E15" s="10" t="n">
        <f aca="false">ROUND(パラメータ!$B$7*A15^パラメータ!$B$8,0)</f>
        <v>456</v>
      </c>
      <c r="F15" s="11" t="n">
        <f aca="false">ROUND(パラメータ!$B$9*A15^パラメータ!$B$10,1)</f>
        <v>35.3</v>
      </c>
      <c r="G15" s="10" t="n">
        <f aca="false">ROUND(D15*パラメータ!$B$11,0)</f>
        <v>58</v>
      </c>
      <c r="H15" s="10" t="n">
        <f aca="false">ROUND(B15/D15,0)</f>
        <v>26</v>
      </c>
    </row>
    <row r="16" customFormat="false" ht="15" hidden="false" customHeight="true" outlineLevel="0" collapsed="false">
      <c r="A16" s="9" t="n">
        <v>15</v>
      </c>
      <c r="B16" s="10" t="n">
        <f aca="false">ROUND(パラメータ!$B$3*A16^パラメータ!$B$4,0)</f>
        <v>8581</v>
      </c>
      <c r="C16" s="10" t="n">
        <f aca="false">C15+B15</f>
        <v>40185</v>
      </c>
      <c r="D16" s="10" t="n">
        <f aca="false">ROUND(パラメータ!$B$5*A16^パラメータ!$B$6,0)</f>
        <v>315</v>
      </c>
      <c r="E16" s="10" t="n">
        <f aca="false">ROUND(パラメータ!$B$7*A16^パラメータ!$B$8,0)</f>
        <v>492</v>
      </c>
      <c r="F16" s="11" t="n">
        <f aca="false">ROUND(パラメータ!$B$9*A16^パラメータ!$B$10,1)</f>
        <v>37.2</v>
      </c>
      <c r="G16" s="10" t="n">
        <f aca="false">ROUND(D16*パラメータ!$B$11,0)</f>
        <v>63</v>
      </c>
      <c r="H16" s="10" t="n">
        <f aca="false">ROUND(B16/D16,0)</f>
        <v>27</v>
      </c>
    </row>
    <row r="17" customFormat="false" ht="15" hidden="false" customHeight="true" outlineLevel="0" collapsed="false">
      <c r="A17" s="9" t="n">
        <v>16</v>
      </c>
      <c r="B17" s="10" t="n">
        <f aca="false">ROUND(パラメータ!$B$3*A17^パラメータ!$B$4,0)</f>
        <v>9701</v>
      </c>
      <c r="C17" s="10" t="n">
        <f aca="false">C16+B16</f>
        <v>48766</v>
      </c>
      <c r="D17" s="10" t="n">
        <f aca="false">ROUND(パラメータ!$B$5*A17^パラメータ!$B$6,0)</f>
        <v>338</v>
      </c>
      <c r="E17" s="10" t="n">
        <f aca="false">ROUND(パラメータ!$B$7*A17^パラメータ!$B$8,0)</f>
        <v>528</v>
      </c>
      <c r="F17" s="11" t="n">
        <f aca="false">ROUND(パラメータ!$B$9*A17^パラメータ!$B$10,1)</f>
        <v>39.1</v>
      </c>
      <c r="G17" s="10" t="n">
        <f aca="false">ROUND(D17*パラメータ!$B$11,0)</f>
        <v>68</v>
      </c>
      <c r="H17" s="10" t="n">
        <f aca="false">ROUND(B17/D17,0)</f>
        <v>29</v>
      </c>
    </row>
    <row r="18" customFormat="false" ht="15" hidden="false" customHeight="true" outlineLevel="0" collapsed="false">
      <c r="A18" s="9" t="n">
        <v>17</v>
      </c>
      <c r="B18" s="10" t="n">
        <f aca="false">ROUND(パラメータ!$B$3*A18^パラメータ!$B$4,0)</f>
        <v>10885</v>
      </c>
      <c r="C18" s="10" t="n">
        <f aca="false">C17+B17</f>
        <v>58467</v>
      </c>
      <c r="D18" s="10" t="n">
        <f aca="false">ROUND(パラメータ!$B$5*A18^パラメータ!$B$6,0)</f>
        <v>361</v>
      </c>
      <c r="E18" s="10" t="n">
        <f aca="false">ROUND(パラメータ!$B$7*A18^パラメータ!$B$8,0)</f>
        <v>564</v>
      </c>
      <c r="F18" s="11" t="n">
        <f aca="false">ROUND(パラメータ!$B$9*A18^パラメータ!$B$10,1)</f>
        <v>41</v>
      </c>
      <c r="G18" s="10" t="n">
        <f aca="false">ROUND(D18*パラメータ!$B$11,0)</f>
        <v>72</v>
      </c>
      <c r="H18" s="10" t="n">
        <f aca="false">ROUND(B18/D18,0)</f>
        <v>30</v>
      </c>
    </row>
    <row r="19" customFormat="false" ht="15" hidden="false" customHeight="true" outlineLevel="0" collapsed="false">
      <c r="A19" s="9" t="n">
        <v>18</v>
      </c>
      <c r="B19" s="10" t="n">
        <f aca="false">ROUND(パラメータ!$B$3*A19^パラメータ!$B$4,0)</f>
        <v>12134</v>
      </c>
      <c r="C19" s="10" t="n">
        <f aca="false">C18+B18</f>
        <v>69352</v>
      </c>
      <c r="D19" s="10" t="n">
        <f aca="false">ROUND(パラメータ!$B$5*A19^パラメータ!$B$6,0)</f>
        <v>385</v>
      </c>
      <c r="E19" s="10" t="n">
        <f aca="false">ROUND(パラメータ!$B$7*A19^パラメータ!$B$8,0)</f>
        <v>601</v>
      </c>
      <c r="F19" s="11" t="n">
        <f aca="false">ROUND(パラメータ!$B$9*A19^パラメータ!$B$10,1)</f>
        <v>42.9</v>
      </c>
      <c r="G19" s="10" t="n">
        <f aca="false">ROUND(D19*パラメータ!$B$11,0)</f>
        <v>77</v>
      </c>
      <c r="H19" s="10" t="n">
        <f aca="false">ROUND(B19/D19,0)</f>
        <v>32</v>
      </c>
    </row>
    <row r="20" customFormat="false" ht="15" hidden="false" customHeight="true" outlineLevel="0" collapsed="false">
      <c r="A20" s="9" t="n">
        <v>19</v>
      </c>
      <c r="B20" s="10" t="n">
        <f aca="false">ROUND(パラメータ!$B$3*A20^パラメータ!$B$4,0)</f>
        <v>13446</v>
      </c>
      <c r="C20" s="10" t="n">
        <f aca="false">C19+B19</f>
        <v>81486</v>
      </c>
      <c r="D20" s="10" t="n">
        <f aca="false">ROUND(パラメータ!$B$5*A20^パラメータ!$B$6,0)</f>
        <v>408</v>
      </c>
      <c r="E20" s="10" t="n">
        <f aca="false">ROUND(パラメータ!$B$7*A20^パラメータ!$B$8,0)</f>
        <v>638</v>
      </c>
      <c r="F20" s="11" t="n">
        <f aca="false">ROUND(パラメータ!$B$9*A20^パラメータ!$B$10,1)</f>
        <v>44.7</v>
      </c>
      <c r="G20" s="10" t="n">
        <f aca="false">ROUND(D20*パラメータ!$B$11,0)</f>
        <v>82</v>
      </c>
      <c r="H20" s="10" t="n">
        <f aca="false">ROUND(B20/D20,0)</f>
        <v>33</v>
      </c>
    </row>
    <row r="21" customFormat="false" ht="15" hidden="false" customHeight="true" outlineLevel="0" collapsed="false">
      <c r="A21" s="9" t="n">
        <v>20</v>
      </c>
      <c r="B21" s="10" t="n">
        <f aca="false">ROUND(パラメータ!$B$3*A21^パラメータ!$B$4,0)</f>
        <v>14823</v>
      </c>
      <c r="C21" s="10" t="n">
        <f aca="false">C20+B20</f>
        <v>94932</v>
      </c>
      <c r="D21" s="10" t="n">
        <f aca="false">ROUND(パラメータ!$B$5*A21^パラメータ!$B$6,0)</f>
        <v>432</v>
      </c>
      <c r="E21" s="10" t="n">
        <f aca="false">ROUND(パラメータ!$B$7*A21^パラメータ!$B$8,0)</f>
        <v>675</v>
      </c>
      <c r="F21" s="11" t="n">
        <f aca="false">ROUND(パラメータ!$B$9*A21^パラメータ!$B$10,1)</f>
        <v>46.6</v>
      </c>
      <c r="G21" s="10" t="n">
        <f aca="false">ROUND(D21*パラメータ!$B$11,0)</f>
        <v>86</v>
      </c>
      <c r="H21" s="10" t="n">
        <f aca="false">ROUND(B21/D21,0)</f>
        <v>34</v>
      </c>
    </row>
    <row r="22" customFormat="false" ht="15" hidden="false" customHeight="true" outlineLevel="0" collapsed="false">
      <c r="A22" s="9" t="n">
        <v>21</v>
      </c>
      <c r="B22" s="10" t="n">
        <f aca="false">ROUND(パラメータ!$B$3*A22^パラメータ!$B$4,0)</f>
        <v>16262</v>
      </c>
      <c r="C22" s="10" t="n">
        <f aca="false">C21+B21</f>
        <v>109755</v>
      </c>
      <c r="D22" s="10" t="n">
        <f aca="false">ROUND(パラメータ!$B$5*A22^パラメータ!$B$6,0)</f>
        <v>456</v>
      </c>
      <c r="E22" s="10" t="n">
        <f aca="false">ROUND(パラメータ!$B$7*A22^パラメータ!$B$8,0)</f>
        <v>712</v>
      </c>
      <c r="F22" s="11" t="n">
        <f aca="false">ROUND(パラメータ!$B$9*A22^パラメータ!$B$10,1)</f>
        <v>48.4</v>
      </c>
      <c r="G22" s="10" t="n">
        <f aca="false">ROUND(D22*パラメータ!$B$11,0)</f>
        <v>91</v>
      </c>
      <c r="H22" s="10" t="n">
        <f aca="false">ROUND(B22/D22,0)</f>
        <v>36</v>
      </c>
    </row>
    <row r="23" customFormat="false" ht="15" hidden="false" customHeight="true" outlineLevel="0" collapsed="false">
      <c r="A23" s="9" t="n">
        <v>22</v>
      </c>
      <c r="B23" s="10" t="n">
        <f aca="false">ROUND(パラメータ!$B$3*A23^パラメータ!$B$4,0)</f>
        <v>17765</v>
      </c>
      <c r="C23" s="10" t="n">
        <f aca="false">C22+B22</f>
        <v>126017</v>
      </c>
      <c r="D23" s="10" t="n">
        <f aca="false">ROUND(パラメータ!$B$5*A23^パラメータ!$B$6,0)</f>
        <v>479</v>
      </c>
      <c r="E23" s="10" t="n">
        <f aca="false">ROUND(パラメータ!$B$7*A23^パラメータ!$B$8,0)</f>
        <v>749</v>
      </c>
      <c r="F23" s="11" t="n">
        <f aca="false">ROUND(パラメータ!$B$9*A23^パラメータ!$B$10,1)</f>
        <v>50.2</v>
      </c>
      <c r="G23" s="10" t="n">
        <f aca="false">ROUND(D23*パラメータ!$B$11,0)</f>
        <v>96</v>
      </c>
      <c r="H23" s="10" t="n">
        <f aca="false">ROUND(B23/D23,0)</f>
        <v>37</v>
      </c>
    </row>
    <row r="24" customFormat="false" ht="15" hidden="false" customHeight="true" outlineLevel="0" collapsed="false">
      <c r="A24" s="9" t="n">
        <v>23</v>
      </c>
      <c r="B24" s="10" t="n">
        <f aca="false">ROUND(パラメータ!$B$3*A24^パラメータ!$B$4,0)</f>
        <v>19331</v>
      </c>
      <c r="C24" s="10" t="n">
        <f aca="false">C23+B23</f>
        <v>143782</v>
      </c>
      <c r="D24" s="10" t="n">
        <f aca="false">ROUND(パラメータ!$B$5*A24^パラメータ!$B$6,0)</f>
        <v>504</v>
      </c>
      <c r="E24" s="10" t="n">
        <f aca="false">ROUND(パラメータ!$B$7*A24^パラメータ!$B$8,0)</f>
        <v>787</v>
      </c>
      <c r="F24" s="11" t="n">
        <f aca="false">ROUND(パラメータ!$B$9*A24^パラメータ!$B$10,1)</f>
        <v>51.9</v>
      </c>
      <c r="G24" s="10" t="n">
        <f aca="false">ROUND(D24*パラメータ!$B$11,0)</f>
        <v>101</v>
      </c>
      <c r="H24" s="10" t="n">
        <f aca="false">ROUND(B24/D24,0)</f>
        <v>38</v>
      </c>
    </row>
    <row r="25" customFormat="false" ht="15" hidden="false" customHeight="true" outlineLevel="0" collapsed="false">
      <c r="A25" s="9" t="n">
        <v>24</v>
      </c>
      <c r="B25" s="10" t="n">
        <f aca="false">ROUND(パラメータ!$B$3*A25^パラメータ!$B$4,0)</f>
        <v>20959</v>
      </c>
      <c r="C25" s="10" t="n">
        <f aca="false">C24+B24</f>
        <v>163113</v>
      </c>
      <c r="D25" s="10" t="n">
        <f aca="false">ROUND(パラメータ!$B$5*A25^パラメータ!$B$6,0)</f>
        <v>528</v>
      </c>
      <c r="E25" s="10" t="n">
        <f aca="false">ROUND(パラメータ!$B$7*A25^パラメータ!$B$8,0)</f>
        <v>824</v>
      </c>
      <c r="F25" s="11" t="n">
        <f aca="false">ROUND(パラメータ!$B$9*A25^パラメータ!$B$10,1)</f>
        <v>53.7</v>
      </c>
      <c r="G25" s="10" t="n">
        <f aca="false">ROUND(D25*パラメータ!$B$11,0)</f>
        <v>106</v>
      </c>
      <c r="H25" s="10" t="n">
        <f aca="false">ROUND(B25/D25,0)</f>
        <v>40</v>
      </c>
    </row>
    <row r="26" customFormat="false" ht="15" hidden="false" customHeight="true" outlineLevel="0" collapsed="false">
      <c r="A26" s="9" t="n">
        <v>25</v>
      </c>
      <c r="B26" s="10" t="n">
        <f aca="false">ROUND(パラメータ!$B$3*A26^パラメータ!$B$4,0)</f>
        <v>22649</v>
      </c>
      <c r="C26" s="10" t="n">
        <f aca="false">C25+B25</f>
        <v>184072</v>
      </c>
      <c r="D26" s="10" t="n">
        <f aca="false">ROUND(パラメータ!$B$5*A26^パラメータ!$B$6,0)</f>
        <v>552</v>
      </c>
      <c r="E26" s="10" t="n">
        <f aca="false">ROUND(パラメータ!$B$7*A26^パラメータ!$B$8,0)</f>
        <v>862</v>
      </c>
      <c r="F26" s="11" t="n">
        <f aca="false">ROUND(パラメータ!$B$9*A26^パラメータ!$B$10,1)</f>
        <v>55.4</v>
      </c>
      <c r="G26" s="10" t="n">
        <f aca="false">ROUND(D26*パラメータ!$B$11,0)</f>
        <v>110</v>
      </c>
      <c r="H26" s="10" t="n">
        <f aca="false">ROUND(B26/D26,0)</f>
        <v>41</v>
      </c>
    </row>
    <row r="27" customFormat="false" ht="15" hidden="false" customHeight="true" outlineLevel="0" collapsed="false">
      <c r="A27" s="9" t="n">
        <v>26</v>
      </c>
      <c r="B27" s="10" t="n">
        <f aca="false">ROUND(パラメータ!$B$3*A27^パラメータ!$B$4,0)</f>
        <v>24402</v>
      </c>
      <c r="C27" s="10" t="n">
        <f aca="false">C26+B26</f>
        <v>206721</v>
      </c>
      <c r="D27" s="10" t="n">
        <f aca="false">ROUND(パラメータ!$B$5*A27^パラメータ!$B$6,0)</f>
        <v>576</v>
      </c>
      <c r="E27" s="10" t="n">
        <f aca="false">ROUND(パラメータ!$B$7*A27^パラメータ!$B$8,0)</f>
        <v>900</v>
      </c>
      <c r="F27" s="11" t="n">
        <f aca="false">ROUND(パラメータ!$B$9*A27^パラメータ!$B$10,1)</f>
        <v>57.1</v>
      </c>
      <c r="G27" s="10" t="n">
        <f aca="false">ROUND(D27*パラメータ!$B$11,0)</f>
        <v>115</v>
      </c>
      <c r="H27" s="10" t="n">
        <f aca="false">ROUND(B27/D27,0)</f>
        <v>42</v>
      </c>
    </row>
    <row r="28" customFormat="false" ht="15" hidden="false" customHeight="true" outlineLevel="0" collapsed="false">
      <c r="A28" s="9" t="n">
        <v>27</v>
      </c>
      <c r="B28" s="10" t="n">
        <f aca="false">ROUND(パラメータ!$B$3*A28^パラメータ!$B$4,0)</f>
        <v>26216</v>
      </c>
      <c r="C28" s="10" t="n">
        <f aca="false">C27+B27</f>
        <v>231123</v>
      </c>
      <c r="D28" s="10" t="n">
        <f aca="false">ROUND(パラメータ!$B$5*A28^パラメータ!$B$6,0)</f>
        <v>601</v>
      </c>
      <c r="E28" s="10" t="n">
        <f aca="false">ROUND(パラメータ!$B$7*A28^パラメータ!$B$8,0)</f>
        <v>939</v>
      </c>
      <c r="F28" s="11" t="n">
        <f aca="false">ROUND(パラメータ!$B$9*A28^パラメータ!$B$10,1)</f>
        <v>58.8</v>
      </c>
      <c r="G28" s="10" t="n">
        <f aca="false">ROUND(D28*パラメータ!$B$11,0)</f>
        <v>120</v>
      </c>
      <c r="H28" s="10" t="n">
        <f aca="false">ROUND(B28/D28,0)</f>
        <v>44</v>
      </c>
    </row>
    <row r="29" customFormat="false" ht="15" hidden="false" customHeight="true" outlineLevel="0" collapsed="false">
      <c r="A29" s="9" t="n">
        <v>28</v>
      </c>
      <c r="B29" s="10" t="n">
        <f aca="false">ROUND(パラメータ!$B$3*A29^パラメータ!$B$4,0)</f>
        <v>28091</v>
      </c>
      <c r="C29" s="10" t="n">
        <f aca="false">C28+B28</f>
        <v>257339</v>
      </c>
      <c r="D29" s="10" t="n">
        <f aca="false">ROUND(パラメータ!$B$5*A29^パラメータ!$B$6,0)</f>
        <v>625</v>
      </c>
      <c r="E29" s="10" t="n">
        <f aca="false">ROUND(パラメータ!$B$7*A29^パラメータ!$B$8,0)</f>
        <v>977</v>
      </c>
      <c r="F29" s="11" t="n">
        <f aca="false">ROUND(パラメータ!$B$9*A29^パラメータ!$B$10,1)</f>
        <v>60.5</v>
      </c>
      <c r="G29" s="10" t="n">
        <f aca="false">ROUND(D29*パラメータ!$B$11,0)</f>
        <v>125</v>
      </c>
      <c r="H29" s="10" t="n">
        <f aca="false">ROUND(B29/D29,0)</f>
        <v>45</v>
      </c>
    </row>
    <row r="30" customFormat="false" ht="15" hidden="false" customHeight="true" outlineLevel="0" collapsed="false">
      <c r="A30" s="9" t="n">
        <v>29</v>
      </c>
      <c r="B30" s="10" t="n">
        <f aca="false">ROUND(パラメータ!$B$3*A30^パラメータ!$B$4,0)</f>
        <v>30028</v>
      </c>
      <c r="C30" s="10" t="n">
        <f aca="false">C29+B29</f>
        <v>285430</v>
      </c>
      <c r="D30" s="10" t="n">
        <f aca="false">ROUND(パラメータ!$B$5*A30^パラメータ!$B$6,0)</f>
        <v>650</v>
      </c>
      <c r="E30" s="10" t="n">
        <f aca="false">ROUND(パラメータ!$B$7*A30^パラメータ!$B$8,0)</f>
        <v>1015</v>
      </c>
      <c r="F30" s="11" t="n">
        <f aca="false">ROUND(パラメータ!$B$9*A30^パラメータ!$B$10,1)</f>
        <v>62.2</v>
      </c>
      <c r="G30" s="10" t="n">
        <f aca="false">ROUND(D30*パラメータ!$B$11,0)</f>
        <v>130</v>
      </c>
      <c r="H30" s="10" t="n">
        <f aca="false">ROUND(B30/D30,0)</f>
        <v>46</v>
      </c>
    </row>
    <row r="31" customFormat="false" ht="15" hidden="false" customHeight="true" outlineLevel="0" collapsed="false">
      <c r="A31" s="9" t="n">
        <v>30</v>
      </c>
      <c r="B31" s="10" t="n">
        <f aca="false">ROUND(パラメータ!$B$3*A31^パラメータ!$B$4,0)</f>
        <v>32026</v>
      </c>
      <c r="C31" s="10" t="n">
        <f aca="false">C30+B30</f>
        <v>315458</v>
      </c>
      <c r="D31" s="10" t="n">
        <f aca="false">ROUND(パラメータ!$B$5*A31^パラメータ!$B$6,0)</f>
        <v>674</v>
      </c>
      <c r="E31" s="10" t="n">
        <f aca="false">ROUND(パラメータ!$B$7*A31^パラメータ!$B$8,0)</f>
        <v>1054</v>
      </c>
      <c r="F31" s="11" t="n">
        <f aca="false">ROUND(パラメータ!$B$9*A31^パラメータ!$B$10,1)</f>
        <v>63.9</v>
      </c>
      <c r="G31" s="10" t="n">
        <f aca="false">ROUND(D31*パラメータ!$B$11,0)</f>
        <v>135</v>
      </c>
      <c r="H31" s="10" t="n">
        <f aca="false">ROUND(B31/D31,0)</f>
        <v>48</v>
      </c>
    </row>
    <row r="32" customFormat="false" ht="15" hidden="false" customHeight="true" outlineLevel="0" collapsed="false">
      <c r="A32" s="9" t="n">
        <v>31</v>
      </c>
      <c r="B32" s="10" t="n">
        <f aca="false">ROUND(パラメータ!$B$3*A32^パラメータ!$B$4,0)</f>
        <v>34085</v>
      </c>
      <c r="C32" s="10" t="n">
        <f aca="false">C31+B31</f>
        <v>347484</v>
      </c>
      <c r="D32" s="10" t="n">
        <f aca="false">ROUND(パラメータ!$B$5*A32^パラメータ!$B$6,0)</f>
        <v>699</v>
      </c>
      <c r="E32" s="10" t="n">
        <f aca="false">ROUND(パラメータ!$B$7*A32^パラメータ!$B$8,0)</f>
        <v>1093</v>
      </c>
      <c r="F32" s="11" t="n">
        <f aca="false">ROUND(パラメータ!$B$9*A32^パラメータ!$B$10,1)</f>
        <v>65.5</v>
      </c>
      <c r="G32" s="10" t="n">
        <f aca="false">ROUND(D32*パラメータ!$B$11,0)</f>
        <v>140</v>
      </c>
      <c r="H32" s="10" t="n">
        <f aca="false">ROUND(B32/D32,0)</f>
        <v>49</v>
      </c>
    </row>
    <row r="33" customFormat="false" ht="15" hidden="false" customHeight="true" outlineLevel="0" collapsed="false">
      <c r="A33" s="9" t="n">
        <v>32</v>
      </c>
      <c r="B33" s="10" t="n">
        <f aca="false">ROUND(パラメータ!$B$3*A33^パラメータ!$B$4,0)</f>
        <v>36204</v>
      </c>
      <c r="C33" s="10" t="n">
        <f aca="false">C32+B32</f>
        <v>381569</v>
      </c>
      <c r="D33" s="10" t="n">
        <f aca="false">ROUND(パラメータ!$B$5*A33^パラメータ!$B$6,0)</f>
        <v>724</v>
      </c>
      <c r="E33" s="10" t="n">
        <f aca="false">ROUND(パラメータ!$B$7*A33^パラメータ!$B$8,0)</f>
        <v>1131</v>
      </c>
      <c r="F33" s="11" t="n">
        <f aca="false">ROUND(パラメータ!$B$9*A33^パラメータ!$B$10,1)</f>
        <v>67.2</v>
      </c>
      <c r="G33" s="10" t="n">
        <f aca="false">ROUND(D33*パラメータ!$B$11,0)</f>
        <v>145</v>
      </c>
      <c r="H33" s="10" t="n">
        <f aca="false">ROUND(B33/D33,0)</f>
        <v>50</v>
      </c>
    </row>
    <row r="34" customFormat="false" ht="15" hidden="false" customHeight="true" outlineLevel="0" collapsed="false">
      <c r="A34" s="9" t="n">
        <v>33</v>
      </c>
      <c r="B34" s="10" t="n">
        <f aca="false">ROUND(パラメータ!$B$3*A34^パラメータ!$B$4,0)</f>
        <v>38384</v>
      </c>
      <c r="C34" s="10" t="n">
        <f aca="false">C33+B33</f>
        <v>417773</v>
      </c>
      <c r="D34" s="10" t="n">
        <f aca="false">ROUND(パラメータ!$B$5*A34^パラメータ!$B$6,0)</f>
        <v>749</v>
      </c>
      <c r="E34" s="10" t="n">
        <f aca="false">ROUND(パラメータ!$B$7*A34^パラメータ!$B$8,0)</f>
        <v>1170</v>
      </c>
      <c r="F34" s="11" t="n">
        <f aca="false">ROUND(パラメータ!$B$9*A34^パラメータ!$B$10,1)</f>
        <v>68.8</v>
      </c>
      <c r="G34" s="10" t="n">
        <f aca="false">ROUND(D34*パラメータ!$B$11,0)</f>
        <v>150</v>
      </c>
      <c r="H34" s="10" t="n">
        <f aca="false">ROUND(B34/D34,0)</f>
        <v>51</v>
      </c>
    </row>
    <row r="35" customFormat="false" ht="15" hidden="false" customHeight="true" outlineLevel="0" collapsed="false">
      <c r="A35" s="9" t="n">
        <v>34</v>
      </c>
      <c r="B35" s="10" t="n">
        <f aca="false">ROUND(パラメータ!$B$3*A35^パラメータ!$B$4,0)</f>
        <v>40624</v>
      </c>
      <c r="C35" s="10" t="n">
        <f aca="false">C34+B34</f>
        <v>456157</v>
      </c>
      <c r="D35" s="10" t="n">
        <f aca="false">ROUND(パラメータ!$B$5*A35^パラメータ!$B$6,0)</f>
        <v>774</v>
      </c>
      <c r="E35" s="10" t="n">
        <f aca="false">ROUND(パラメータ!$B$7*A35^パラメータ!$B$8,0)</f>
        <v>1209</v>
      </c>
      <c r="F35" s="11" t="n">
        <f aca="false">ROUND(パラメータ!$B$9*A35^パラメータ!$B$10,1)</f>
        <v>70.4</v>
      </c>
      <c r="G35" s="10" t="n">
        <f aca="false">ROUND(D35*パラメータ!$B$11,0)</f>
        <v>155</v>
      </c>
      <c r="H35" s="10" t="n">
        <f aca="false">ROUND(B35/D35,0)</f>
        <v>52</v>
      </c>
    </row>
    <row r="36" customFormat="false" ht="15" hidden="false" customHeight="true" outlineLevel="0" collapsed="false">
      <c r="A36" s="9" t="n">
        <v>35</v>
      </c>
      <c r="B36" s="10" t="n">
        <f aca="false">ROUND(パラメータ!$B$3*A36^パラメータ!$B$4,0)</f>
        <v>42924</v>
      </c>
      <c r="C36" s="10" t="n">
        <f aca="false">C35+B35</f>
        <v>496781</v>
      </c>
      <c r="D36" s="10" t="n">
        <f aca="false">ROUND(パラメータ!$B$5*A36^パラメータ!$B$6,0)</f>
        <v>799</v>
      </c>
      <c r="E36" s="10" t="n">
        <f aca="false">ROUND(パラメータ!$B$7*A36^パラメータ!$B$8,0)</f>
        <v>1249</v>
      </c>
      <c r="F36" s="11" t="n">
        <f aca="false">ROUND(パラメータ!$B$9*A36^パラメータ!$B$10,1)</f>
        <v>72</v>
      </c>
      <c r="G36" s="10" t="n">
        <f aca="false">ROUND(D36*パラメータ!$B$11,0)</f>
        <v>160</v>
      </c>
      <c r="H36" s="10" t="n">
        <f aca="false">ROUND(B36/D36,0)</f>
        <v>54</v>
      </c>
    </row>
    <row r="37" customFormat="false" ht="15" hidden="false" customHeight="true" outlineLevel="0" collapsed="false">
      <c r="A37" s="9" t="n">
        <v>36</v>
      </c>
      <c r="B37" s="10" t="n">
        <f aca="false">ROUND(パラメータ!$B$3*A37^パラメータ!$B$4,0)</f>
        <v>45284</v>
      </c>
      <c r="C37" s="10" t="n">
        <f aca="false">C36+B36</f>
        <v>539705</v>
      </c>
      <c r="D37" s="10" t="n">
        <f aca="false">ROUND(パラメータ!$B$5*A37^パラメータ!$B$6,0)</f>
        <v>824</v>
      </c>
      <c r="E37" s="10" t="n">
        <f aca="false">ROUND(パラメータ!$B$7*A37^パラメータ!$B$8,0)</f>
        <v>1288</v>
      </c>
      <c r="F37" s="11" t="n">
        <f aca="false">ROUND(パラメータ!$B$9*A37^パラメータ!$B$10,1)</f>
        <v>73.6</v>
      </c>
      <c r="G37" s="10" t="n">
        <f aca="false">ROUND(D37*パラメータ!$B$11,0)</f>
        <v>165</v>
      </c>
      <c r="H37" s="10" t="n">
        <f aca="false">ROUND(B37/D37,0)</f>
        <v>55</v>
      </c>
    </row>
    <row r="38" customFormat="false" ht="15" hidden="false" customHeight="true" outlineLevel="0" collapsed="false">
      <c r="A38" s="9" t="n">
        <v>37</v>
      </c>
      <c r="B38" s="10" t="n">
        <f aca="false">ROUND(パラメータ!$B$3*A38^パラメータ!$B$4,0)</f>
        <v>47704</v>
      </c>
      <c r="C38" s="10" t="n">
        <f aca="false">C37+B37</f>
        <v>584989</v>
      </c>
      <c r="D38" s="10" t="n">
        <f aca="false">ROUND(パラメータ!$B$5*A38^パラメータ!$B$6,0)</f>
        <v>849</v>
      </c>
      <c r="E38" s="10" t="n">
        <f aca="false">ROUND(パラメータ!$B$7*A38^パラメータ!$B$8,0)</f>
        <v>1327</v>
      </c>
      <c r="F38" s="11" t="n">
        <f aca="false">ROUND(パラメータ!$B$9*A38^パラメータ!$B$10,1)</f>
        <v>75.2</v>
      </c>
      <c r="G38" s="10" t="n">
        <f aca="false">ROUND(D38*パラメータ!$B$11,0)</f>
        <v>170</v>
      </c>
      <c r="H38" s="10" t="n">
        <f aca="false">ROUND(B38/D38,0)</f>
        <v>56</v>
      </c>
    </row>
    <row r="39" customFormat="false" ht="15" hidden="false" customHeight="true" outlineLevel="0" collapsed="false">
      <c r="A39" s="9" t="n">
        <v>38</v>
      </c>
      <c r="B39" s="10" t="n">
        <f aca="false">ROUND(パラメータ!$B$3*A39^パラメータ!$B$4,0)</f>
        <v>50183</v>
      </c>
      <c r="C39" s="10" t="n">
        <f aca="false">C38+B38</f>
        <v>632693</v>
      </c>
      <c r="D39" s="10" t="n">
        <f aca="false">ROUND(パラメータ!$B$5*A39^パラメータ!$B$6,0)</f>
        <v>875</v>
      </c>
      <c r="E39" s="10" t="n">
        <f aca="false">ROUND(パラメータ!$B$7*A39^パラメータ!$B$8,0)</f>
        <v>1367</v>
      </c>
      <c r="F39" s="11" t="n">
        <f aca="false">ROUND(パラメータ!$B$9*A39^パラメータ!$B$10,1)</f>
        <v>76.8</v>
      </c>
      <c r="G39" s="10" t="n">
        <f aca="false">ROUND(D39*パラメータ!$B$11,0)</f>
        <v>175</v>
      </c>
      <c r="H39" s="10" t="n">
        <f aca="false">ROUND(B39/D39,0)</f>
        <v>57</v>
      </c>
    </row>
    <row r="40" customFormat="false" ht="15" hidden="false" customHeight="true" outlineLevel="0" collapsed="false">
      <c r="A40" s="9" t="n">
        <v>39</v>
      </c>
      <c r="B40" s="10" t="n">
        <f aca="false">ROUND(パラメータ!$B$3*A40^パラメータ!$B$4,0)</f>
        <v>52722</v>
      </c>
      <c r="C40" s="10" t="n">
        <f aca="false">C39+B39</f>
        <v>682876</v>
      </c>
      <c r="D40" s="10" t="n">
        <f aca="false">ROUND(パラメータ!$B$5*A40^パラメータ!$B$6,0)</f>
        <v>900</v>
      </c>
      <c r="E40" s="10" t="n">
        <f aca="false">ROUND(パラメータ!$B$7*A40^パラメータ!$B$8,0)</f>
        <v>1406</v>
      </c>
      <c r="F40" s="11" t="n">
        <f aca="false">ROUND(パラメータ!$B$9*A40^パラメータ!$B$10,1)</f>
        <v>78.4</v>
      </c>
      <c r="G40" s="10" t="n">
        <f aca="false">ROUND(D40*パラメータ!$B$11,0)</f>
        <v>180</v>
      </c>
      <c r="H40" s="10" t="n">
        <f aca="false">ROUND(B40/D40,0)</f>
        <v>59</v>
      </c>
    </row>
    <row r="41" customFormat="false" ht="15" hidden="false" customHeight="true" outlineLevel="0" collapsed="false">
      <c r="A41" s="9" t="n">
        <v>40</v>
      </c>
      <c r="B41" s="10" t="n">
        <f aca="false">ROUND(パラメータ!$B$3*A41^パラメータ!$B$4,0)</f>
        <v>55320</v>
      </c>
      <c r="C41" s="10" t="n">
        <f aca="false">C40+B40</f>
        <v>735598</v>
      </c>
      <c r="D41" s="10" t="n">
        <f aca="false">ROUND(パラメータ!$B$5*A41^パラメータ!$B$6,0)</f>
        <v>926</v>
      </c>
      <c r="E41" s="10" t="n">
        <f aca="false">ROUND(パラメータ!$B$7*A41^パラメータ!$B$8,0)</f>
        <v>1446</v>
      </c>
      <c r="F41" s="11" t="n">
        <f aca="false">ROUND(パラメータ!$B$9*A41^パラメータ!$B$10,1)</f>
        <v>80</v>
      </c>
      <c r="G41" s="10" t="n">
        <f aca="false">ROUND(D41*パラメータ!$B$11,0)</f>
        <v>185</v>
      </c>
      <c r="H41" s="10" t="n">
        <f aca="false">ROUND(B41/D41,0)</f>
        <v>60</v>
      </c>
    </row>
    <row r="42" customFormat="false" ht="15" hidden="false" customHeight="true" outlineLevel="0" collapsed="false">
      <c r="A42" s="9" t="n">
        <v>41</v>
      </c>
      <c r="B42" s="10" t="n">
        <f aca="false">ROUND(パラメータ!$B$3*A42^パラメータ!$B$4,0)</f>
        <v>57977</v>
      </c>
      <c r="C42" s="10" t="n">
        <f aca="false">C41+B41</f>
        <v>790918</v>
      </c>
      <c r="D42" s="10" t="n">
        <f aca="false">ROUND(パラメータ!$B$5*A42^パラメータ!$B$6,0)</f>
        <v>951</v>
      </c>
      <c r="E42" s="10" t="n">
        <f aca="false">ROUND(パラメータ!$B$7*A42^パラメータ!$B$8,0)</f>
        <v>1486</v>
      </c>
      <c r="F42" s="11" t="n">
        <f aca="false">ROUND(パラメータ!$B$9*A42^パラメータ!$B$10,1)</f>
        <v>81.5</v>
      </c>
      <c r="G42" s="10" t="n">
        <f aca="false">ROUND(D42*パラメータ!$B$11,0)</f>
        <v>190</v>
      </c>
      <c r="H42" s="10" t="n">
        <f aca="false">ROUND(B42/D42,0)</f>
        <v>61</v>
      </c>
    </row>
    <row r="43" customFormat="false" ht="15" hidden="false" customHeight="true" outlineLevel="0" collapsed="false">
      <c r="A43" s="9" t="n">
        <v>42</v>
      </c>
      <c r="B43" s="10" t="n">
        <f aca="false">ROUND(パラメータ!$B$3*A43^パラメータ!$B$4,0)</f>
        <v>60694</v>
      </c>
      <c r="C43" s="10" t="n">
        <f aca="false">C42+B42</f>
        <v>848895</v>
      </c>
      <c r="D43" s="10" t="n">
        <f aca="false">ROUND(パラメータ!$B$5*A43^パラメータ!$B$6,0)</f>
        <v>977</v>
      </c>
      <c r="E43" s="10" t="n">
        <f aca="false">ROUND(パラメータ!$B$7*A43^パラメータ!$B$8,0)</f>
        <v>1526</v>
      </c>
      <c r="F43" s="11" t="n">
        <f aca="false">ROUND(パラメータ!$B$9*A43^パラメータ!$B$10,1)</f>
        <v>83.1</v>
      </c>
      <c r="G43" s="10" t="n">
        <f aca="false">ROUND(D43*パラメータ!$B$11,0)</f>
        <v>195</v>
      </c>
      <c r="H43" s="10" t="n">
        <f aca="false">ROUND(B43/D43,0)</f>
        <v>62</v>
      </c>
    </row>
    <row r="44" customFormat="false" ht="15" hidden="false" customHeight="true" outlineLevel="0" collapsed="false">
      <c r="A44" s="9" t="n">
        <v>43</v>
      </c>
      <c r="B44" s="10" t="n">
        <f aca="false">ROUND(パラメータ!$B$3*A44^パラメータ!$B$4,0)</f>
        <v>63469</v>
      </c>
      <c r="C44" s="10" t="n">
        <f aca="false">C43+B43</f>
        <v>909589</v>
      </c>
      <c r="D44" s="10" t="n">
        <f aca="false">ROUND(パラメータ!$B$5*A44^パラメータ!$B$6,0)</f>
        <v>1002</v>
      </c>
      <c r="E44" s="10" t="n">
        <f aca="false">ROUND(パラメータ!$B$7*A44^パラメータ!$B$8,0)</f>
        <v>1566</v>
      </c>
      <c r="F44" s="11" t="n">
        <f aca="false">ROUND(パラメータ!$B$9*A44^パラメータ!$B$10,1)</f>
        <v>84.6</v>
      </c>
      <c r="G44" s="10" t="n">
        <f aca="false">ROUND(D44*パラメータ!$B$11,0)</f>
        <v>200</v>
      </c>
      <c r="H44" s="10" t="n">
        <f aca="false">ROUND(B44/D44,0)</f>
        <v>63</v>
      </c>
    </row>
    <row r="45" customFormat="false" ht="15" hidden="false" customHeight="true" outlineLevel="0" collapsed="false">
      <c r="A45" s="9" t="n">
        <v>44</v>
      </c>
      <c r="B45" s="10" t="n">
        <f aca="false">ROUND(パラメータ!$B$3*A45^パラメータ!$B$4,0)</f>
        <v>66303</v>
      </c>
      <c r="C45" s="10" t="n">
        <f aca="false">C44+B44</f>
        <v>973058</v>
      </c>
      <c r="D45" s="10" t="n">
        <f aca="false">ROUND(パラメータ!$B$5*A45^パラメータ!$B$6,0)</f>
        <v>1028</v>
      </c>
      <c r="E45" s="10" t="n">
        <f aca="false">ROUND(パラメータ!$B$7*A45^パラメータ!$B$8,0)</f>
        <v>1606</v>
      </c>
      <c r="F45" s="11" t="n">
        <f aca="false">ROUND(パラメータ!$B$9*A45^パラメータ!$B$10,1)</f>
        <v>86.1</v>
      </c>
      <c r="G45" s="10" t="n">
        <f aca="false">ROUND(D45*パラメータ!$B$11,0)</f>
        <v>206</v>
      </c>
      <c r="H45" s="10" t="n">
        <f aca="false">ROUND(B45/D45,0)</f>
        <v>64</v>
      </c>
    </row>
    <row r="46" customFormat="false" ht="15" hidden="false" customHeight="true" outlineLevel="0" collapsed="false">
      <c r="A46" s="9" t="n">
        <v>45</v>
      </c>
      <c r="B46" s="10" t="n">
        <f aca="false">ROUND(パラメータ!$B$3*A46^パラメータ!$B$4,0)</f>
        <v>69195</v>
      </c>
      <c r="C46" s="10" t="n">
        <f aca="false">C45+B45</f>
        <v>1039361</v>
      </c>
      <c r="D46" s="10" t="n">
        <f aca="false">ROUND(パラメータ!$B$5*A46^パラメータ!$B$6,0)</f>
        <v>1054</v>
      </c>
      <c r="E46" s="10" t="n">
        <f aca="false">ROUND(パラメータ!$B$7*A46^パラメータ!$B$8,0)</f>
        <v>1646</v>
      </c>
      <c r="F46" s="11" t="n">
        <f aca="false">ROUND(パラメータ!$B$9*A46^パラメータ!$B$10,1)</f>
        <v>87.6</v>
      </c>
      <c r="G46" s="10" t="n">
        <f aca="false">ROUND(D46*パラメータ!$B$11,0)</f>
        <v>211</v>
      </c>
      <c r="H46" s="10" t="n">
        <f aca="false">ROUND(B46/D46,0)</f>
        <v>66</v>
      </c>
    </row>
    <row r="47" customFormat="false" ht="15" hidden="false" customHeight="true" outlineLevel="0" collapsed="false">
      <c r="A47" s="9" t="n">
        <v>46</v>
      </c>
      <c r="B47" s="10" t="n">
        <f aca="false">ROUND(パラメータ!$B$3*A47^パラメータ!$B$4,0)</f>
        <v>72146</v>
      </c>
      <c r="C47" s="10" t="n">
        <f aca="false">C46+B46</f>
        <v>1108556</v>
      </c>
      <c r="D47" s="10" t="n">
        <f aca="false">ROUND(パラメータ!$B$5*A47^パラメータ!$B$6,0)</f>
        <v>1079</v>
      </c>
      <c r="E47" s="10" t="n">
        <f aca="false">ROUND(パラメータ!$B$7*A47^パラメータ!$B$8,0)</f>
        <v>1686</v>
      </c>
      <c r="F47" s="11" t="n">
        <f aca="false">ROUND(パラメータ!$B$9*A47^パラメータ!$B$10,1)</f>
        <v>89.2</v>
      </c>
      <c r="G47" s="10" t="n">
        <f aca="false">ROUND(D47*パラメータ!$B$11,0)</f>
        <v>216</v>
      </c>
      <c r="H47" s="10" t="n">
        <f aca="false">ROUND(B47/D47,0)</f>
        <v>67</v>
      </c>
    </row>
    <row r="48" customFormat="false" ht="15" hidden="false" customHeight="true" outlineLevel="0" collapsed="false">
      <c r="A48" s="9" t="n">
        <v>47</v>
      </c>
      <c r="B48" s="10" t="n">
        <f aca="false">ROUND(パラメータ!$B$3*A48^パラメータ!$B$4,0)</f>
        <v>75155</v>
      </c>
      <c r="C48" s="10" t="n">
        <f aca="false">C47+B47</f>
        <v>1180702</v>
      </c>
      <c r="D48" s="10" t="n">
        <f aca="false">ROUND(パラメータ!$B$5*A48^パラメータ!$B$6,0)</f>
        <v>1105</v>
      </c>
      <c r="E48" s="10" t="n">
        <f aca="false">ROUND(パラメータ!$B$7*A48^パラメータ!$B$8,0)</f>
        <v>1727</v>
      </c>
      <c r="F48" s="11" t="n">
        <f aca="false">ROUND(パラメータ!$B$9*A48^パラメータ!$B$10,1)</f>
        <v>90.7</v>
      </c>
      <c r="G48" s="10" t="n">
        <f aca="false">ROUND(D48*パラメータ!$B$11,0)</f>
        <v>221</v>
      </c>
      <c r="H48" s="10" t="n">
        <f aca="false">ROUND(B48/D48,0)</f>
        <v>68</v>
      </c>
    </row>
    <row r="49" customFormat="false" ht="15" hidden="false" customHeight="true" outlineLevel="0" collapsed="false">
      <c r="A49" s="9" t="n">
        <v>48</v>
      </c>
      <c r="B49" s="10" t="n">
        <f aca="false">ROUND(パラメータ!$B$3*A49^パラメータ!$B$4,0)</f>
        <v>78222</v>
      </c>
      <c r="C49" s="10" t="n">
        <f aca="false">C48+B48</f>
        <v>1255857</v>
      </c>
      <c r="D49" s="10" t="n">
        <f aca="false">ROUND(パラメータ!$B$5*A49^パラメータ!$B$6,0)</f>
        <v>1131</v>
      </c>
      <c r="E49" s="10" t="n">
        <f aca="false">ROUND(パラメータ!$B$7*A49^パラメータ!$B$8,0)</f>
        <v>1767</v>
      </c>
      <c r="F49" s="11" t="n">
        <f aca="false">ROUND(パラメータ!$B$9*A49^パラメータ!$B$10,1)</f>
        <v>92.2</v>
      </c>
      <c r="G49" s="10" t="n">
        <f aca="false">ROUND(D49*パラメータ!$B$11,0)</f>
        <v>226</v>
      </c>
      <c r="H49" s="10" t="n">
        <f aca="false">ROUND(B49/D49,0)</f>
        <v>69</v>
      </c>
    </row>
    <row r="50" customFormat="false" ht="15" hidden="false" customHeight="true" outlineLevel="0" collapsed="false">
      <c r="A50" s="9" t="n">
        <v>49</v>
      </c>
      <c r="B50" s="10" t="n">
        <f aca="false">ROUND(パラメータ!$B$3*A50^パラメータ!$B$4,0)</f>
        <v>81347</v>
      </c>
      <c r="C50" s="10" t="n">
        <f aca="false">C49+B49</f>
        <v>1334079</v>
      </c>
      <c r="D50" s="10" t="n">
        <f aca="false">ROUND(パラメータ!$B$5*A50^パラメータ!$B$6,0)</f>
        <v>1157</v>
      </c>
      <c r="E50" s="10" t="n">
        <f aca="false">ROUND(パラメータ!$B$7*A50^パラメータ!$B$8,0)</f>
        <v>1808</v>
      </c>
      <c r="F50" s="11" t="n">
        <f aca="false">ROUND(パラメータ!$B$9*A50^パラメータ!$B$10,1)</f>
        <v>93.7</v>
      </c>
      <c r="G50" s="10" t="n">
        <f aca="false">ROUND(D50*パラメータ!$B$11,0)</f>
        <v>231</v>
      </c>
      <c r="H50" s="10" t="n">
        <f aca="false">ROUND(B50/D50,0)</f>
        <v>70</v>
      </c>
    </row>
    <row r="51" customFormat="false" ht="15" hidden="false" customHeight="true" outlineLevel="0" collapsed="false">
      <c r="A51" s="9" t="n">
        <v>50</v>
      </c>
      <c r="B51" s="10" t="n">
        <f aca="false">ROUND(パラメータ!$B$3*A51^パラメータ!$B$4,0)</f>
        <v>84530</v>
      </c>
      <c r="C51" s="10" t="n">
        <f aca="false">C50+B50</f>
        <v>1415426</v>
      </c>
      <c r="D51" s="10" t="n">
        <f aca="false">ROUND(パラメータ!$B$5*A51^パラメータ!$B$6,0)</f>
        <v>1183</v>
      </c>
      <c r="E51" s="10" t="n">
        <f aca="false">ROUND(パラメータ!$B$7*A51^パラメータ!$B$8,0)</f>
        <v>1848</v>
      </c>
      <c r="F51" s="11" t="n">
        <f aca="false">ROUND(パラメータ!$B$9*A51^パラメータ!$B$10,1)</f>
        <v>95.2</v>
      </c>
      <c r="G51" s="10" t="n">
        <f aca="false">ROUND(D51*パラメータ!$B$11,0)</f>
        <v>237</v>
      </c>
      <c r="H51" s="10" t="n">
        <f aca="false">ROUND(B51/D51,0)</f>
        <v>71</v>
      </c>
    </row>
    <row r="52" customFormat="false" ht="15" hidden="false" customHeight="true" outlineLevel="0" collapsed="false">
      <c r="A52" s="9" t="n">
        <v>51</v>
      </c>
      <c r="B52" s="10" t="n">
        <f aca="false">ROUND(パラメータ!$B$3*A52^パラメータ!$B$4,0)</f>
        <v>87771</v>
      </c>
      <c r="C52" s="10" t="n">
        <f aca="false">C51+B51</f>
        <v>1499956</v>
      </c>
      <c r="D52" s="10" t="n">
        <f aca="false">ROUND(パラメータ!$B$5*A52^パラメータ!$B$6,0)</f>
        <v>1209</v>
      </c>
      <c r="E52" s="10" t="n">
        <f aca="false">ROUND(パラメータ!$B$7*A52^パラメータ!$B$8,0)</f>
        <v>1889</v>
      </c>
      <c r="F52" s="11" t="n">
        <f aca="false">ROUND(パラメータ!$B$9*A52^パラメータ!$B$10,1)</f>
        <v>96.6</v>
      </c>
      <c r="G52" s="10" t="n">
        <f aca="false">ROUND(D52*パラメータ!$B$11,0)</f>
        <v>242</v>
      </c>
      <c r="H52" s="10" t="n">
        <f aca="false">ROUND(B52/D52,0)</f>
        <v>73</v>
      </c>
    </row>
    <row r="53" customFormat="false" ht="15" hidden="false" customHeight="true" outlineLevel="0" collapsed="false">
      <c r="A53" s="9" t="n">
        <v>52</v>
      </c>
      <c r="B53" s="10" t="n">
        <f aca="false">ROUND(パラメータ!$B$3*A53^パラメータ!$B$4,0)</f>
        <v>91070</v>
      </c>
      <c r="C53" s="10" t="n">
        <f aca="false">C52+B52</f>
        <v>1587727</v>
      </c>
      <c r="D53" s="10" t="n">
        <f aca="false">ROUND(パラメータ!$B$5*A53^パラメータ!$B$6,0)</f>
        <v>1235</v>
      </c>
      <c r="E53" s="10" t="n">
        <f aca="false">ROUND(パラメータ!$B$7*A53^パラメータ!$B$8,0)</f>
        <v>1930</v>
      </c>
      <c r="F53" s="11" t="n">
        <f aca="false">ROUND(パラメータ!$B$9*A53^パラメータ!$B$10,1)</f>
        <v>98.1</v>
      </c>
      <c r="G53" s="10" t="n">
        <f aca="false">ROUND(D53*パラメータ!$B$11,0)</f>
        <v>247</v>
      </c>
      <c r="H53" s="10" t="n">
        <f aca="false">ROUND(B53/D53,0)</f>
        <v>74</v>
      </c>
    </row>
    <row r="54" customFormat="false" ht="15" hidden="false" customHeight="true" outlineLevel="0" collapsed="false">
      <c r="A54" s="9" t="n">
        <v>53</v>
      </c>
      <c r="B54" s="10" t="n">
        <f aca="false">ROUND(パラメータ!$B$3*A54^パラメータ!$B$4,0)</f>
        <v>94427</v>
      </c>
      <c r="C54" s="10" t="n">
        <f aca="false">C53+B53</f>
        <v>1678797</v>
      </c>
      <c r="D54" s="10" t="n">
        <f aca="false">ROUND(パラメータ!$B$5*A54^パラメータ!$B$6,0)</f>
        <v>1261</v>
      </c>
      <c r="E54" s="10" t="n">
        <f aca="false">ROUND(パラメータ!$B$7*A54^パラメータ!$B$8,0)</f>
        <v>1971</v>
      </c>
      <c r="F54" s="11" t="n">
        <f aca="false">ROUND(パラメータ!$B$9*A54^パラメータ!$B$10,1)</f>
        <v>99.6</v>
      </c>
      <c r="G54" s="10" t="n">
        <f aca="false">ROUND(D54*パラメータ!$B$11,0)</f>
        <v>252</v>
      </c>
      <c r="H54" s="10" t="n">
        <f aca="false">ROUND(B54/D54,0)</f>
        <v>75</v>
      </c>
    </row>
    <row r="55" customFormat="false" ht="15" hidden="false" customHeight="true" outlineLevel="0" collapsed="false">
      <c r="A55" s="9" t="n">
        <v>54</v>
      </c>
      <c r="B55" s="10" t="n">
        <f aca="false">ROUND(パラメータ!$B$3*A55^パラメータ!$B$4,0)</f>
        <v>97840</v>
      </c>
      <c r="C55" s="10" t="n">
        <f aca="false">C54+B54</f>
        <v>1773224</v>
      </c>
      <c r="D55" s="10" t="n">
        <f aca="false">ROUND(パラメータ!$B$5*A55^パラメータ!$B$6,0)</f>
        <v>1288</v>
      </c>
      <c r="E55" s="10" t="n">
        <f aca="false">ROUND(パラメータ!$B$7*A55^パラメータ!$B$8,0)</f>
        <v>2012</v>
      </c>
      <c r="F55" s="11" t="n">
        <f aca="false">ROUND(パラメータ!$B$9*A55^パラメータ!$B$10,1)</f>
        <v>101</v>
      </c>
      <c r="G55" s="10" t="n">
        <f aca="false">ROUND(D55*パラメータ!$B$11,0)</f>
        <v>258</v>
      </c>
      <c r="H55" s="10" t="n">
        <f aca="false">ROUND(B55/D55,0)</f>
        <v>76</v>
      </c>
    </row>
    <row r="56" customFormat="false" ht="15" hidden="false" customHeight="true" outlineLevel="0" collapsed="false">
      <c r="A56" s="9" t="n">
        <v>55</v>
      </c>
      <c r="B56" s="10" t="n">
        <f aca="false">ROUND(パラメータ!$B$3*A56^パラメータ!$B$4,0)</f>
        <v>101312</v>
      </c>
      <c r="C56" s="10" t="n">
        <f aca="false">C55+B55</f>
        <v>1871064</v>
      </c>
      <c r="D56" s="10" t="n">
        <f aca="false">ROUND(パラメータ!$B$5*A56^パラメータ!$B$6,0)</f>
        <v>1314</v>
      </c>
      <c r="E56" s="10" t="n">
        <f aca="false">ROUND(パラメータ!$B$7*A56^パラメータ!$B$8,0)</f>
        <v>2053</v>
      </c>
      <c r="F56" s="11" t="n">
        <f aca="false">ROUND(パラメータ!$B$9*A56^パラメータ!$B$10,1)</f>
        <v>102.5</v>
      </c>
      <c r="G56" s="10" t="n">
        <f aca="false">ROUND(D56*パラメータ!$B$11,0)</f>
        <v>263</v>
      </c>
      <c r="H56" s="10" t="n">
        <f aca="false">ROUND(B56/D56,0)</f>
        <v>77</v>
      </c>
    </row>
    <row r="57" customFormat="false" ht="15" hidden="false" customHeight="true" outlineLevel="0" collapsed="false">
      <c r="A57" s="9" t="n">
        <v>56</v>
      </c>
      <c r="B57" s="10" t="n">
        <f aca="false">ROUND(パラメータ!$B$3*A57^パラメータ!$B$4,0)</f>
        <v>104840</v>
      </c>
      <c r="C57" s="10" t="n">
        <f aca="false">C56+B56</f>
        <v>1972376</v>
      </c>
      <c r="D57" s="10" t="n">
        <f aca="false">ROUND(パラメータ!$B$5*A57^パラメータ!$B$6,0)</f>
        <v>1340</v>
      </c>
      <c r="E57" s="10" t="n">
        <f aca="false">ROUND(パラメータ!$B$7*A57^パラメータ!$B$8,0)</f>
        <v>2094</v>
      </c>
      <c r="F57" s="11" t="n">
        <f aca="false">ROUND(パラメータ!$B$9*A57^パラメータ!$B$10,1)</f>
        <v>103.9</v>
      </c>
      <c r="G57" s="10" t="n">
        <f aca="false">ROUND(D57*パラメータ!$B$11,0)</f>
        <v>268</v>
      </c>
      <c r="H57" s="10" t="n">
        <f aca="false">ROUND(B57/D57,0)</f>
        <v>78</v>
      </c>
    </row>
    <row r="58" customFormat="false" ht="15" hidden="false" customHeight="true" outlineLevel="0" collapsed="false">
      <c r="A58" s="9" t="n">
        <v>57</v>
      </c>
      <c r="B58" s="10" t="n">
        <f aca="false">ROUND(パラメータ!$B$3*A58^パラメータ!$B$4,0)</f>
        <v>108426</v>
      </c>
      <c r="C58" s="10" t="n">
        <f aca="false">C57+B57</f>
        <v>2077216</v>
      </c>
      <c r="D58" s="10" t="n">
        <f aca="false">ROUND(パラメータ!$B$5*A58^パラメータ!$B$6,0)</f>
        <v>1366</v>
      </c>
      <c r="E58" s="10" t="n">
        <f aca="false">ROUND(パラメータ!$B$7*A58^パラメータ!$B$8,0)</f>
        <v>2135</v>
      </c>
      <c r="F58" s="11" t="n">
        <f aca="false">ROUND(パラメータ!$B$9*A58^パラメータ!$B$10,1)</f>
        <v>105.4</v>
      </c>
      <c r="G58" s="10" t="n">
        <f aca="false">ROUND(D58*パラメータ!$B$11,0)</f>
        <v>273</v>
      </c>
      <c r="H58" s="10" t="n">
        <f aca="false">ROUND(B58/D58,0)</f>
        <v>79</v>
      </c>
    </row>
    <row r="59" customFormat="false" ht="15" hidden="false" customHeight="true" outlineLevel="0" collapsed="false">
      <c r="A59" s="9" t="n">
        <v>58</v>
      </c>
      <c r="B59" s="10" t="n">
        <f aca="false">ROUND(パラメータ!$B$3*A59^パラメータ!$B$4,0)</f>
        <v>112068</v>
      </c>
      <c r="C59" s="10" t="n">
        <f aca="false">C58+B58</f>
        <v>2185642</v>
      </c>
      <c r="D59" s="10" t="n">
        <f aca="false">ROUND(パラメータ!$B$5*A59^パラメータ!$B$6,0)</f>
        <v>1393</v>
      </c>
      <c r="E59" s="10" t="n">
        <f aca="false">ROUND(パラメータ!$B$7*A59^パラメータ!$B$8,0)</f>
        <v>2176</v>
      </c>
      <c r="F59" s="11" t="n">
        <f aca="false">ROUND(パラメータ!$B$9*A59^パラメータ!$B$10,1)</f>
        <v>106.8</v>
      </c>
      <c r="G59" s="10" t="n">
        <f aca="false">ROUND(D59*パラメータ!$B$11,0)</f>
        <v>279</v>
      </c>
      <c r="H59" s="10" t="n">
        <f aca="false">ROUND(B59/D59,0)</f>
        <v>80</v>
      </c>
    </row>
    <row r="60" customFormat="false" ht="15" hidden="false" customHeight="true" outlineLevel="0" collapsed="false">
      <c r="A60" s="9" t="n">
        <v>59</v>
      </c>
      <c r="B60" s="10" t="n">
        <f aca="false">ROUND(パラメータ!$B$3*A60^パラメータ!$B$4,0)</f>
        <v>115768</v>
      </c>
      <c r="C60" s="10" t="n">
        <f aca="false">C59+B59</f>
        <v>2297710</v>
      </c>
      <c r="D60" s="10" t="n">
        <f aca="false">ROUND(パラメータ!$B$5*A60^パラメータ!$B$6,0)</f>
        <v>1419</v>
      </c>
      <c r="E60" s="10" t="n">
        <f aca="false">ROUND(パラメータ!$B$7*A60^パラメータ!$B$8,0)</f>
        <v>2218</v>
      </c>
      <c r="F60" s="11" t="n">
        <f aca="false">ROUND(パラメータ!$B$9*A60^パラメータ!$B$10,1)</f>
        <v>108.3</v>
      </c>
      <c r="G60" s="10" t="n">
        <f aca="false">ROUND(D60*パラメータ!$B$11,0)</f>
        <v>284</v>
      </c>
      <c r="H60" s="10" t="n">
        <f aca="false">ROUND(B60/D60,0)</f>
        <v>82</v>
      </c>
    </row>
    <row r="61" customFormat="false" ht="15" hidden="false" customHeight="true" outlineLevel="0" collapsed="false">
      <c r="A61" s="9" t="n">
        <v>60</v>
      </c>
      <c r="B61" s="10" t="n">
        <f aca="false">ROUND(パラメータ!$B$3*A61^パラメータ!$B$4,0)</f>
        <v>119525</v>
      </c>
      <c r="C61" s="10" t="n">
        <f aca="false">C60+B60</f>
        <v>2413478</v>
      </c>
      <c r="D61" s="10" t="n">
        <f aca="false">ROUND(パラメータ!$B$5*A61^パラメータ!$B$6,0)</f>
        <v>1446</v>
      </c>
      <c r="E61" s="10" t="n">
        <f aca="false">ROUND(パラメータ!$B$7*A61^パラメータ!$B$8,0)</f>
        <v>2259</v>
      </c>
      <c r="F61" s="11" t="n">
        <f aca="false">ROUND(パラメータ!$B$9*A61^パラメータ!$B$10,1)</f>
        <v>109.7</v>
      </c>
      <c r="G61" s="10" t="n">
        <f aca="false">ROUND(D61*パラメータ!$B$11,0)</f>
        <v>289</v>
      </c>
      <c r="H61" s="10" t="n">
        <f aca="false">ROUND(B61/D61,0)</f>
        <v>83</v>
      </c>
    </row>
    <row r="62" customFormat="false" ht="15" hidden="false" customHeight="true" outlineLevel="0" collapsed="false">
      <c r="A62" s="9" t="n">
        <v>61</v>
      </c>
      <c r="B62" s="10" t="n">
        <f aca="false">ROUND(パラメータ!$B$3*A62^パラメータ!$B$4,0)</f>
        <v>123338</v>
      </c>
      <c r="C62" s="10" t="n">
        <f aca="false">C61+B61</f>
        <v>2533003</v>
      </c>
      <c r="D62" s="10" t="n">
        <f aca="false">ROUND(パラメータ!$B$5*A62^パラメータ!$B$6,0)</f>
        <v>1472</v>
      </c>
      <c r="E62" s="10" t="n">
        <f aca="false">ROUND(パラメータ!$B$7*A62^パラメータ!$B$8,0)</f>
        <v>2300</v>
      </c>
      <c r="F62" s="11" t="n">
        <f aca="false">ROUND(パラメータ!$B$9*A62^パラメータ!$B$10,1)</f>
        <v>111.1</v>
      </c>
      <c r="G62" s="10" t="n">
        <f aca="false">ROUND(D62*パラメータ!$B$11,0)</f>
        <v>294</v>
      </c>
      <c r="H62" s="10" t="n">
        <f aca="false">ROUND(B62/D62,0)</f>
        <v>84</v>
      </c>
    </row>
    <row r="63" customFormat="false" ht="15" hidden="false" customHeight="true" outlineLevel="0" collapsed="false">
      <c r="A63" s="9" t="n">
        <v>62</v>
      </c>
      <c r="B63" s="10" t="n">
        <f aca="false">ROUND(パラメータ!$B$3*A63^パラメータ!$B$4,0)</f>
        <v>127208</v>
      </c>
      <c r="C63" s="10" t="n">
        <f aca="false">C62+B62</f>
        <v>2656341</v>
      </c>
      <c r="D63" s="10" t="n">
        <f aca="false">ROUND(パラメータ!$B$5*A63^パラメータ!$B$6,0)</f>
        <v>1499</v>
      </c>
      <c r="E63" s="10" t="n">
        <f aca="false">ROUND(パラメータ!$B$7*A63^パラメータ!$B$8,0)</f>
        <v>2342</v>
      </c>
      <c r="F63" s="11" t="n">
        <f aca="false">ROUND(パラメータ!$B$9*A63^パラメータ!$B$10,1)</f>
        <v>112.5</v>
      </c>
      <c r="G63" s="10" t="n">
        <f aca="false">ROUND(D63*パラメータ!$B$11,0)</f>
        <v>300</v>
      </c>
      <c r="H63" s="10" t="n">
        <f aca="false">ROUND(B63/D63,0)</f>
        <v>85</v>
      </c>
    </row>
    <row r="64" customFormat="false" ht="15" hidden="false" customHeight="true" outlineLevel="0" collapsed="false">
      <c r="A64" s="9" t="n">
        <v>63</v>
      </c>
      <c r="B64" s="10" t="n">
        <f aca="false">ROUND(パラメータ!$B$3*A64^パラメータ!$B$4,0)</f>
        <v>131135</v>
      </c>
      <c r="C64" s="10" t="n">
        <f aca="false">C63+B63</f>
        <v>2783549</v>
      </c>
      <c r="D64" s="10" t="n">
        <f aca="false">ROUND(パラメータ!$B$5*A64^パラメータ!$B$6,0)</f>
        <v>1525</v>
      </c>
      <c r="E64" s="10" t="n">
        <f aca="false">ROUND(パラメータ!$B$7*A64^パラメータ!$B$8,0)</f>
        <v>2383</v>
      </c>
      <c r="F64" s="11" t="n">
        <f aca="false">ROUND(パラメータ!$B$9*A64^パラメータ!$B$10,1)</f>
        <v>113.9</v>
      </c>
      <c r="G64" s="10" t="n">
        <f aca="false">ROUND(D64*パラメータ!$B$11,0)</f>
        <v>305</v>
      </c>
      <c r="H64" s="10" t="n">
        <f aca="false">ROUND(B64/D64,0)</f>
        <v>86</v>
      </c>
    </row>
    <row r="65" customFormat="false" ht="15" hidden="false" customHeight="true" outlineLevel="0" collapsed="false">
      <c r="A65" s="9" t="n">
        <v>64</v>
      </c>
      <c r="B65" s="10" t="n">
        <f aca="false">ROUND(パラメータ!$B$3*A65^パラメータ!$B$4,0)</f>
        <v>135118</v>
      </c>
      <c r="C65" s="10" t="n">
        <f aca="false">C64+B64</f>
        <v>2914684</v>
      </c>
      <c r="D65" s="10" t="n">
        <f aca="false">ROUND(パラメータ!$B$5*A65^パラメータ!$B$6,0)</f>
        <v>1552</v>
      </c>
      <c r="E65" s="10" t="n">
        <f aca="false">ROUND(パラメータ!$B$7*A65^パラメータ!$B$8,0)</f>
        <v>2425</v>
      </c>
      <c r="F65" s="11" t="n">
        <f aca="false">ROUND(パラメータ!$B$9*A65^パラメータ!$B$10,1)</f>
        <v>115.4</v>
      </c>
      <c r="G65" s="10" t="n">
        <f aca="false">ROUND(D65*パラメータ!$B$11,0)</f>
        <v>310</v>
      </c>
      <c r="H65" s="10" t="n">
        <f aca="false">ROUND(B65/D65,0)</f>
        <v>87</v>
      </c>
    </row>
    <row r="66" customFormat="false" ht="15" hidden="false" customHeight="true" outlineLevel="0" collapsed="false">
      <c r="A66" s="9" t="n">
        <v>65</v>
      </c>
      <c r="B66" s="10" t="n">
        <f aca="false">ROUND(パラメータ!$B$3*A66^パラメータ!$B$4,0)</f>
        <v>139157</v>
      </c>
      <c r="C66" s="10" t="n">
        <f aca="false">C65+B65</f>
        <v>3049802</v>
      </c>
      <c r="D66" s="10" t="n">
        <f aca="false">ROUND(パラメータ!$B$5*A66^パラメータ!$B$6,0)</f>
        <v>1579</v>
      </c>
      <c r="E66" s="10" t="n">
        <f aca="false">ROUND(パラメータ!$B$7*A66^パラメータ!$B$8,0)</f>
        <v>2467</v>
      </c>
      <c r="F66" s="11" t="n">
        <f aca="false">ROUND(パラメータ!$B$9*A66^パラメータ!$B$10,1)</f>
        <v>116.8</v>
      </c>
      <c r="G66" s="10" t="n">
        <f aca="false">ROUND(D66*パラメータ!$B$11,0)</f>
        <v>316</v>
      </c>
      <c r="H66" s="10" t="n">
        <f aca="false">ROUND(B66/D66,0)</f>
        <v>88</v>
      </c>
    </row>
    <row r="67" customFormat="false" ht="15" hidden="false" customHeight="true" outlineLevel="0" collapsed="false">
      <c r="A67" s="9" t="n">
        <v>66</v>
      </c>
      <c r="B67" s="10" t="n">
        <f aca="false">ROUND(パラメータ!$B$3*A67^パラメータ!$B$4,0)</f>
        <v>143253</v>
      </c>
      <c r="C67" s="10" t="n">
        <f aca="false">C66+B66</f>
        <v>3188959</v>
      </c>
      <c r="D67" s="10" t="n">
        <f aca="false">ROUND(パラメータ!$B$5*A67^パラメータ!$B$6,0)</f>
        <v>1606</v>
      </c>
      <c r="E67" s="10" t="n">
        <f aca="false">ROUND(パラメータ!$B$7*A67^パラメータ!$B$8,0)</f>
        <v>2509</v>
      </c>
      <c r="F67" s="11" t="n">
        <f aca="false">ROUND(パラメータ!$B$9*A67^パラメータ!$B$10,1)</f>
        <v>118.2</v>
      </c>
      <c r="G67" s="10" t="n">
        <f aca="false">ROUND(D67*パラメータ!$B$11,0)</f>
        <v>321</v>
      </c>
      <c r="H67" s="10" t="n">
        <f aca="false">ROUND(B67/D67,0)</f>
        <v>89</v>
      </c>
    </row>
    <row r="68" customFormat="false" ht="15" hidden="false" customHeight="true" outlineLevel="0" collapsed="false">
      <c r="A68" s="9" t="n">
        <v>67</v>
      </c>
      <c r="B68" s="10" t="n">
        <f aca="false">ROUND(パラメータ!$B$3*A68^パラメータ!$B$4,0)</f>
        <v>147405</v>
      </c>
      <c r="C68" s="10" t="n">
        <f aca="false">C67+B67</f>
        <v>3332212</v>
      </c>
      <c r="D68" s="10" t="n">
        <f aca="false">ROUND(パラメータ!$B$5*A68^パラメータ!$B$6,0)</f>
        <v>1632</v>
      </c>
      <c r="E68" s="10" t="n">
        <f aca="false">ROUND(パラメータ!$B$7*A68^パラメータ!$B$8,0)</f>
        <v>2550</v>
      </c>
      <c r="F68" s="11" t="n">
        <f aca="false">ROUND(パラメータ!$B$9*A68^パラメータ!$B$10,1)</f>
        <v>119.6</v>
      </c>
      <c r="G68" s="10" t="n">
        <f aca="false">ROUND(D68*パラメータ!$B$11,0)</f>
        <v>326</v>
      </c>
      <c r="H68" s="10" t="n">
        <f aca="false">ROUND(B68/D68,0)</f>
        <v>90</v>
      </c>
    </row>
    <row r="69" customFormat="false" ht="15" hidden="false" customHeight="true" outlineLevel="0" collapsed="false">
      <c r="A69" s="9" t="n">
        <v>68</v>
      </c>
      <c r="B69" s="10" t="n">
        <f aca="false">ROUND(パラメータ!$B$3*A69^パラメータ!$B$4,0)</f>
        <v>151613</v>
      </c>
      <c r="C69" s="10" t="n">
        <f aca="false">C68+B68</f>
        <v>3479617</v>
      </c>
      <c r="D69" s="10" t="n">
        <f aca="false">ROUND(パラメータ!$B$5*A69^パラメータ!$B$6,0)</f>
        <v>1659</v>
      </c>
      <c r="E69" s="10" t="n">
        <f aca="false">ROUND(パラメータ!$B$7*A69^パラメータ!$B$8,0)</f>
        <v>2592</v>
      </c>
      <c r="F69" s="11" t="n">
        <f aca="false">ROUND(パラメータ!$B$9*A69^パラメータ!$B$10,1)</f>
        <v>120.9</v>
      </c>
      <c r="G69" s="10" t="n">
        <f aca="false">ROUND(D69*パラメータ!$B$11,0)</f>
        <v>332</v>
      </c>
      <c r="H69" s="10" t="n">
        <f aca="false">ROUND(B69/D69,0)</f>
        <v>91</v>
      </c>
    </row>
    <row r="70" customFormat="false" ht="15" hidden="false" customHeight="true" outlineLevel="0" collapsed="false">
      <c r="A70" s="9" t="n">
        <v>69</v>
      </c>
      <c r="B70" s="10" t="n">
        <f aca="false">ROUND(パラメータ!$B$3*A70^パラメータ!$B$4,0)</f>
        <v>155877</v>
      </c>
      <c r="C70" s="10" t="n">
        <f aca="false">C69+B69</f>
        <v>3631230</v>
      </c>
      <c r="D70" s="10" t="n">
        <f aca="false">ROUND(パラメータ!$B$5*A70^パラメータ!$B$6,0)</f>
        <v>1686</v>
      </c>
      <c r="E70" s="10" t="n">
        <f aca="false">ROUND(パラメータ!$B$7*A70^パラメータ!$B$8,0)</f>
        <v>2634</v>
      </c>
      <c r="F70" s="11" t="n">
        <f aca="false">ROUND(パラメータ!$B$9*A70^パラメータ!$B$10,1)</f>
        <v>122.3</v>
      </c>
      <c r="G70" s="10" t="n">
        <f aca="false">ROUND(D70*パラメータ!$B$11,0)</f>
        <v>337</v>
      </c>
      <c r="H70" s="10" t="n">
        <f aca="false">ROUND(B70/D70,0)</f>
        <v>92</v>
      </c>
    </row>
    <row r="71" customFormat="false" ht="15" hidden="false" customHeight="true" outlineLevel="0" collapsed="false">
      <c r="A71" s="9" t="n">
        <v>70</v>
      </c>
      <c r="B71" s="10" t="n">
        <f aca="false">ROUND(パラメータ!$B$3*A71^パラメータ!$B$4,0)</f>
        <v>160198</v>
      </c>
      <c r="C71" s="10" t="n">
        <f aca="false">C70+B70</f>
        <v>3787107</v>
      </c>
      <c r="D71" s="10" t="n">
        <f aca="false">ROUND(パラメータ!$B$5*A71^パラメータ!$B$6,0)</f>
        <v>1713</v>
      </c>
      <c r="E71" s="10" t="n">
        <f aca="false">ROUND(パラメータ!$B$7*A71^パラメータ!$B$8,0)</f>
        <v>2676</v>
      </c>
      <c r="F71" s="11" t="n">
        <f aca="false">ROUND(パラメータ!$B$9*A71^パラメータ!$B$10,1)</f>
        <v>123.7</v>
      </c>
      <c r="G71" s="10" t="n">
        <f aca="false">ROUND(D71*パラメータ!$B$11,0)</f>
        <v>343</v>
      </c>
      <c r="H71" s="10" t="n">
        <f aca="false">ROUND(B71/D71,0)</f>
        <v>94</v>
      </c>
    </row>
    <row r="72" customFormat="false" ht="15" hidden="false" customHeight="true" outlineLevel="0" collapsed="false">
      <c r="A72" s="9" t="n">
        <v>71</v>
      </c>
      <c r="B72" s="10" t="n">
        <f aca="false">ROUND(パラメータ!$B$3*A72^パラメータ!$B$4,0)</f>
        <v>164574</v>
      </c>
      <c r="C72" s="10" t="n">
        <f aca="false">C71+B71</f>
        <v>3947305</v>
      </c>
      <c r="D72" s="10" t="n">
        <f aca="false">ROUND(パラメータ!$B$5*A72^パラメータ!$B$6,0)</f>
        <v>1740</v>
      </c>
      <c r="E72" s="10" t="n">
        <f aca="false">ROUND(パラメータ!$B$7*A72^パラメータ!$B$8,0)</f>
        <v>2718</v>
      </c>
      <c r="F72" s="11" t="n">
        <f aca="false">ROUND(パラメータ!$B$9*A72^パラメータ!$B$10,1)</f>
        <v>125.1</v>
      </c>
      <c r="G72" s="10" t="n">
        <f aca="false">ROUND(D72*パラメータ!$B$11,0)</f>
        <v>348</v>
      </c>
      <c r="H72" s="10" t="n">
        <f aca="false">ROUND(B72/D72,0)</f>
        <v>95</v>
      </c>
    </row>
    <row r="73" customFormat="false" ht="15" hidden="false" customHeight="true" outlineLevel="0" collapsed="false">
      <c r="A73" s="9" t="n">
        <v>72</v>
      </c>
      <c r="B73" s="10" t="n">
        <f aca="false">ROUND(パラメータ!$B$3*A73^パラメータ!$B$4,0)</f>
        <v>169006</v>
      </c>
      <c r="C73" s="10" t="n">
        <f aca="false">C72+B72</f>
        <v>4111879</v>
      </c>
      <c r="D73" s="10" t="n">
        <f aca="false">ROUND(パラメータ!$B$5*A73^パラメータ!$B$6,0)</f>
        <v>1767</v>
      </c>
      <c r="E73" s="10" t="n">
        <f aca="false">ROUND(パラメータ!$B$7*A73^パラメータ!$B$8,0)</f>
        <v>2761</v>
      </c>
      <c r="F73" s="11" t="n">
        <f aca="false">ROUND(パラメータ!$B$9*A73^パラメータ!$B$10,1)</f>
        <v>126.5</v>
      </c>
      <c r="G73" s="10" t="n">
        <f aca="false">ROUND(D73*パラメータ!$B$11,0)</f>
        <v>353</v>
      </c>
      <c r="H73" s="10" t="n">
        <f aca="false">ROUND(B73/D73,0)</f>
        <v>96</v>
      </c>
    </row>
    <row r="74" customFormat="false" ht="15" hidden="false" customHeight="true" outlineLevel="0" collapsed="false">
      <c r="A74" s="9" t="n">
        <v>73</v>
      </c>
      <c r="B74" s="10" t="n">
        <f aca="false">ROUND(パラメータ!$B$3*A74^パラメータ!$B$4,0)</f>
        <v>173494</v>
      </c>
      <c r="C74" s="10" t="n">
        <f aca="false">C73+B73</f>
        <v>4280885</v>
      </c>
      <c r="D74" s="10" t="n">
        <f aca="false">ROUND(パラメータ!$B$5*A74^パラメータ!$B$6,0)</f>
        <v>1794</v>
      </c>
      <c r="E74" s="10" t="n">
        <f aca="false">ROUND(パラメータ!$B$7*A74^パラメータ!$B$8,0)</f>
        <v>2803</v>
      </c>
      <c r="F74" s="11" t="n">
        <f aca="false">ROUND(パラメータ!$B$9*A74^パラメータ!$B$10,1)</f>
        <v>127.8</v>
      </c>
      <c r="G74" s="10" t="n">
        <f aca="false">ROUND(D74*パラメータ!$B$11,0)</f>
        <v>359</v>
      </c>
      <c r="H74" s="10" t="n">
        <f aca="false">ROUND(B74/D74,0)</f>
        <v>97</v>
      </c>
    </row>
    <row r="75" customFormat="false" ht="15" hidden="false" customHeight="true" outlineLevel="0" collapsed="false">
      <c r="A75" s="9" t="n">
        <v>74</v>
      </c>
      <c r="B75" s="10" t="n">
        <f aca="false">ROUND(パラメータ!$B$3*A75^パラメータ!$B$4,0)</f>
        <v>178037</v>
      </c>
      <c r="C75" s="10" t="n">
        <f aca="false">C74+B74</f>
        <v>4454379</v>
      </c>
      <c r="D75" s="10" t="n">
        <f aca="false">ROUND(パラメータ!$B$5*A75^パラメータ!$B$6,0)</f>
        <v>1821</v>
      </c>
      <c r="E75" s="10" t="n">
        <f aca="false">ROUND(パラメータ!$B$7*A75^パラメータ!$B$8,0)</f>
        <v>2845</v>
      </c>
      <c r="F75" s="11" t="n">
        <f aca="false">ROUND(パラメータ!$B$9*A75^パラメータ!$B$10,1)</f>
        <v>129.2</v>
      </c>
      <c r="G75" s="10" t="n">
        <f aca="false">ROUND(D75*パラメータ!$B$11,0)</f>
        <v>364</v>
      </c>
      <c r="H75" s="10" t="n">
        <f aca="false">ROUND(B75/D75,0)</f>
        <v>98</v>
      </c>
    </row>
    <row r="76" customFormat="false" ht="15" hidden="false" customHeight="true" outlineLevel="0" collapsed="false">
      <c r="A76" s="9" t="n">
        <v>75</v>
      </c>
      <c r="B76" s="10" t="n">
        <f aca="false">ROUND(パラメータ!$B$3*A76^パラメータ!$B$4,0)</f>
        <v>182636</v>
      </c>
      <c r="C76" s="10" t="n">
        <f aca="false">C75+B75</f>
        <v>4632416</v>
      </c>
      <c r="D76" s="10" t="n">
        <f aca="false">ROUND(パラメータ!$B$5*A76^パラメータ!$B$6,0)</f>
        <v>1848</v>
      </c>
      <c r="E76" s="10" t="n">
        <f aca="false">ROUND(パラメータ!$B$7*A76^パラメータ!$B$8,0)</f>
        <v>2887</v>
      </c>
      <c r="F76" s="11" t="n">
        <f aca="false">ROUND(パラメータ!$B$9*A76^パラメータ!$B$10,1)</f>
        <v>130.5</v>
      </c>
      <c r="G76" s="10" t="n">
        <f aca="false">ROUND(D76*パラメータ!$B$11,0)</f>
        <v>370</v>
      </c>
      <c r="H76" s="10" t="n">
        <f aca="false">ROUND(B76/D76,0)</f>
        <v>99</v>
      </c>
    </row>
    <row r="77" customFormat="false" ht="15" hidden="false" customHeight="true" outlineLevel="0" collapsed="false">
      <c r="A77" s="9" t="n">
        <v>76</v>
      </c>
      <c r="B77" s="10" t="n">
        <f aca="false">ROUND(パラメータ!$B$3*A77^パラメータ!$B$4,0)</f>
        <v>187291</v>
      </c>
      <c r="C77" s="10" t="n">
        <f aca="false">C76+B76</f>
        <v>4815052</v>
      </c>
      <c r="D77" s="10" t="n">
        <f aca="false">ROUND(パラメータ!$B$5*A77^パラメータ!$B$6,0)</f>
        <v>1875</v>
      </c>
      <c r="E77" s="10" t="n">
        <f aca="false">ROUND(パラメータ!$B$7*A77^パラメータ!$B$8,0)</f>
        <v>2930</v>
      </c>
      <c r="F77" s="11" t="n">
        <f aca="false">ROUND(パラメータ!$B$9*A77^パラメータ!$B$10,1)</f>
        <v>131.9</v>
      </c>
      <c r="G77" s="10" t="n">
        <f aca="false">ROUND(D77*パラメータ!$B$11,0)</f>
        <v>375</v>
      </c>
      <c r="H77" s="10" t="n">
        <f aca="false">ROUND(B77/D77,0)</f>
        <v>100</v>
      </c>
    </row>
    <row r="78" customFormat="false" ht="15" hidden="false" customHeight="true" outlineLevel="0" collapsed="false">
      <c r="A78" s="9" t="n">
        <v>77</v>
      </c>
      <c r="B78" s="10" t="n">
        <f aca="false">ROUND(パラメータ!$B$3*A78^パラメータ!$B$4,0)</f>
        <v>192001</v>
      </c>
      <c r="C78" s="10" t="n">
        <f aca="false">C77+B77</f>
        <v>5002343</v>
      </c>
      <c r="D78" s="10" t="n">
        <f aca="false">ROUND(パラメータ!$B$5*A78^パラメータ!$B$6,0)</f>
        <v>1902</v>
      </c>
      <c r="E78" s="10" t="n">
        <f aca="false">ROUND(パラメータ!$B$7*A78^パラメータ!$B$8,0)</f>
        <v>2972</v>
      </c>
      <c r="F78" s="11" t="n">
        <f aca="false">ROUND(パラメータ!$B$9*A78^パラメータ!$B$10,1)</f>
        <v>133.3</v>
      </c>
      <c r="G78" s="10" t="n">
        <f aca="false">ROUND(D78*パラメータ!$B$11,0)</f>
        <v>380</v>
      </c>
      <c r="H78" s="10" t="n">
        <f aca="false">ROUND(B78/D78,0)</f>
        <v>101</v>
      </c>
    </row>
    <row r="79" customFormat="false" ht="15" hidden="false" customHeight="true" outlineLevel="0" collapsed="false">
      <c r="A79" s="9" t="n">
        <v>78</v>
      </c>
      <c r="B79" s="10" t="n">
        <f aca="false">ROUND(パラメータ!$B$3*A79^パラメータ!$B$4,0)</f>
        <v>196766</v>
      </c>
      <c r="C79" s="10" t="n">
        <f aca="false">C78+B78</f>
        <v>5194344</v>
      </c>
      <c r="D79" s="10" t="n">
        <f aca="false">ROUND(パラメータ!$B$5*A79^パラメータ!$B$6,0)</f>
        <v>1929</v>
      </c>
      <c r="E79" s="10" t="n">
        <f aca="false">ROUND(パラメータ!$B$7*A79^パラメータ!$B$8,0)</f>
        <v>3015</v>
      </c>
      <c r="F79" s="11" t="n">
        <f aca="false">ROUND(パラメータ!$B$9*A79^パラメータ!$B$10,1)</f>
        <v>134.6</v>
      </c>
      <c r="G79" s="10" t="n">
        <f aca="false">ROUND(D79*パラメータ!$B$11,0)</f>
        <v>386</v>
      </c>
      <c r="H79" s="10" t="n">
        <f aca="false">ROUND(B79/D79,0)</f>
        <v>102</v>
      </c>
    </row>
    <row r="80" customFormat="false" ht="15" hidden="false" customHeight="true" outlineLevel="0" collapsed="false">
      <c r="A80" s="9" t="n">
        <v>79</v>
      </c>
      <c r="B80" s="10" t="n">
        <f aca="false">ROUND(パラメータ!$B$3*A80^パラメータ!$B$4,0)</f>
        <v>201587</v>
      </c>
      <c r="C80" s="10" t="n">
        <f aca="false">C79+B79</f>
        <v>5391110</v>
      </c>
      <c r="D80" s="10" t="n">
        <f aca="false">ROUND(パラメータ!$B$5*A80^パラメータ!$B$6,0)</f>
        <v>1957</v>
      </c>
      <c r="E80" s="10" t="n">
        <f aca="false">ROUND(パラメータ!$B$7*A80^パラメータ!$B$8,0)</f>
        <v>3057</v>
      </c>
      <c r="F80" s="11" t="n">
        <f aca="false">ROUND(パラメータ!$B$9*A80^パラメータ!$B$10,1)</f>
        <v>135.9</v>
      </c>
      <c r="G80" s="10" t="n">
        <f aca="false">ROUND(D80*パラメータ!$B$11,0)</f>
        <v>391</v>
      </c>
      <c r="H80" s="10" t="n">
        <f aca="false">ROUND(B80/D80,0)</f>
        <v>103</v>
      </c>
    </row>
    <row r="81" customFormat="false" ht="15" hidden="false" customHeight="true" outlineLevel="0" collapsed="false">
      <c r="A81" s="9" t="n">
        <v>80</v>
      </c>
      <c r="B81" s="10" t="n">
        <f aca="false">ROUND(パラメータ!$B$3*A81^パラメータ!$B$4,0)</f>
        <v>206462</v>
      </c>
      <c r="C81" s="10" t="n">
        <f aca="false">C80+B80</f>
        <v>5592697</v>
      </c>
      <c r="D81" s="10" t="n">
        <f aca="false">ROUND(パラメータ!$B$5*A81^パラメータ!$B$6,0)</f>
        <v>1984</v>
      </c>
      <c r="E81" s="10" t="n">
        <f aca="false">ROUND(パラメータ!$B$7*A81^パラメータ!$B$8,0)</f>
        <v>3100</v>
      </c>
      <c r="F81" s="11" t="n">
        <f aca="false">ROUND(パラメータ!$B$9*A81^パラメータ!$B$10,1)</f>
        <v>137.3</v>
      </c>
      <c r="G81" s="10" t="n">
        <f aca="false">ROUND(D81*パラメータ!$B$11,0)</f>
        <v>397</v>
      </c>
      <c r="H81" s="10" t="n">
        <f aca="false">ROUND(B81/D81,0)</f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2"/>
    <col collapsed="false" customWidth="true" hidden="false" outlineLevel="0" max="3" min="3" style="1" width="6"/>
    <col collapsed="false" customWidth="true" hidden="false" outlineLevel="0" max="5" min="4" style="1" width="8"/>
    <col collapsed="false" customWidth="true" hidden="false" outlineLevel="0" max="6" min="6" style="1" width="6"/>
    <col collapsed="false" customWidth="true" hidden="false" outlineLevel="0" max="7" min="7" style="1" width="10"/>
    <col collapsed="false" customWidth="true" hidden="false" outlineLevel="0" max="8" min="8" style="1" width="13"/>
    <col collapsed="false" customWidth="true" hidden="false" outlineLevel="0" max="10" min="9" style="1" width="12"/>
    <col collapsed="false" customWidth="true" hidden="false" outlineLevel="0" max="12" min="11" style="1" width="11"/>
    <col collapsed="false" customWidth="true" hidden="false" outlineLevel="0" max="13" min="13" style="1" width="8"/>
  </cols>
  <sheetData>
    <row r="1" customFormat="false" ht="32.25" hidden="false" customHeight="true" outlineLevel="0" collapsed="false">
      <c r="A1" s="6" t="s">
        <v>57</v>
      </c>
      <c r="B1" s="6" t="s">
        <v>58</v>
      </c>
      <c r="C1" s="6" t="s">
        <v>59</v>
      </c>
      <c r="D1" s="6" t="s">
        <v>60</v>
      </c>
      <c r="E1" s="6" t="s">
        <v>61</v>
      </c>
      <c r="F1" s="12" t="s">
        <v>62</v>
      </c>
      <c r="G1" s="6" t="s">
        <v>63</v>
      </c>
      <c r="H1" s="6" t="s">
        <v>64</v>
      </c>
      <c r="I1" s="6" t="s">
        <v>65</v>
      </c>
      <c r="J1" s="6" t="s">
        <v>66</v>
      </c>
      <c r="K1" s="6" t="s">
        <v>67</v>
      </c>
      <c r="L1" s="6" t="s">
        <v>68</v>
      </c>
      <c r="M1" s="6" t="s">
        <v>69</v>
      </c>
    </row>
    <row r="2" customFormat="false" ht="16.5" hidden="false" customHeight="true" outlineLevel="0" collapsed="false">
      <c r="A2" s="7" t="n">
        <v>1</v>
      </c>
      <c r="B2" s="13" t="s">
        <v>70</v>
      </c>
      <c r="C2" s="8" t="n">
        <v>7</v>
      </c>
      <c r="D2" s="8" t="n">
        <v>1</v>
      </c>
      <c r="E2" s="9" t="n">
        <f aca="false">D3</f>
        <v>22</v>
      </c>
      <c r="F2" s="9" t="n">
        <f aca="false">E2-D2</f>
        <v>21</v>
      </c>
      <c r="G2" s="11" t="n">
        <f aca="false">ROUND(F2/C2,1)</f>
        <v>3</v>
      </c>
      <c r="H2" s="10" t="n">
        <f aca="false">INDEX(徳位表!$C:$C,E2+1)-INDEX(徳位表!$C:$C,D2+1)</f>
        <v>126017</v>
      </c>
      <c r="I2" s="10" t="n">
        <f aca="false">SUMIFS(徳位表!$H:$H,徳位表!$A:$A,"&gt;="&amp;D2,徳位表!$A:$A,"&lt;"&amp;E2)</f>
        <v>433</v>
      </c>
      <c r="J2" s="14" t="n">
        <v>1.1</v>
      </c>
      <c r="K2" s="11" t="n">
        <f aca="false">ROUND(I2/(パラメータ!$B$12*J2),1)</f>
        <v>3.9</v>
      </c>
      <c r="L2" s="8" t="n">
        <v>5</v>
      </c>
      <c r="M2" s="9" t="str">
        <f aca="false">IF(ABS(K2-L2)/L2&lt;=0.3,"OK","要調整")</f>
        <v>OK</v>
      </c>
    </row>
    <row r="3" customFormat="false" ht="16.5" hidden="false" customHeight="true" outlineLevel="0" collapsed="false">
      <c r="A3" s="7" t="n">
        <v>2</v>
      </c>
      <c r="B3" s="13" t="s">
        <v>71</v>
      </c>
      <c r="C3" s="8" t="n">
        <v>6</v>
      </c>
      <c r="D3" s="8" t="n">
        <v>22</v>
      </c>
      <c r="E3" s="9" t="n">
        <f aca="false">D4</f>
        <v>34</v>
      </c>
      <c r="F3" s="9" t="n">
        <f aca="false">E3-D3</f>
        <v>12</v>
      </c>
      <c r="G3" s="11" t="n">
        <f aca="false">ROUND(F3/C3,1)</f>
        <v>2</v>
      </c>
      <c r="H3" s="10" t="n">
        <f aca="false">INDEX(徳位表!$C:$C,E3+1)-INDEX(徳位表!$C:$C,D3+1)</f>
        <v>330140</v>
      </c>
      <c r="I3" s="10" t="n">
        <f aca="false">SUMIFS(徳位表!$H:$H,徳位表!$A:$A,"&gt;="&amp;D3,徳位表!$A:$A,"&lt;"&amp;E3)</f>
        <v>531</v>
      </c>
      <c r="J3" s="14" t="n">
        <v>1.05</v>
      </c>
      <c r="K3" s="11" t="n">
        <f aca="false">ROUND(I3/(パラメータ!$B$12*J3),1)</f>
        <v>5.1</v>
      </c>
      <c r="L3" s="8" t="n">
        <v>6</v>
      </c>
      <c r="M3" s="9" t="str">
        <f aca="false">IF(ABS(K3-L3)/L3&lt;=0.3,"OK","要調整")</f>
        <v>OK</v>
      </c>
    </row>
    <row r="4" customFormat="false" ht="15" hidden="false" customHeight="true" outlineLevel="0" collapsed="false">
      <c r="A4" s="7" t="n">
        <v>3</v>
      </c>
      <c r="B4" s="13" t="s">
        <v>72</v>
      </c>
      <c r="C4" s="8" t="n">
        <v>5</v>
      </c>
      <c r="D4" s="8" t="n">
        <v>34</v>
      </c>
      <c r="E4" s="9" t="n">
        <f aca="false">D5</f>
        <v>45</v>
      </c>
      <c r="F4" s="9" t="n">
        <f aca="false">E4-D4</f>
        <v>11</v>
      </c>
      <c r="G4" s="11" t="n">
        <f aca="false">ROUND(F4/C4,1)</f>
        <v>2.2</v>
      </c>
      <c r="H4" s="10" t="n">
        <f aca="false">INDEX(徳位表!$C:$C,E4+1)-INDEX(徳位表!$C:$C,D4+1)</f>
        <v>583204</v>
      </c>
      <c r="I4" s="10" t="n">
        <f aca="false">SUMIFS(徳位表!$H:$H,徳位表!$A:$A,"&gt;="&amp;D4,徳位表!$A:$A,"&lt;"&amp;E4)</f>
        <v>643</v>
      </c>
      <c r="J4" s="14" t="n">
        <v>1</v>
      </c>
      <c r="K4" s="11" t="n">
        <f aca="false">ROUND(I4/(パラメータ!$B$12*J4),1)</f>
        <v>6.4</v>
      </c>
      <c r="L4" s="8" t="n">
        <v>7</v>
      </c>
      <c r="M4" s="9" t="str">
        <f aca="false">IF(ABS(K4-L4)/L4&lt;=0.3,"OK","要調整")</f>
        <v>OK</v>
      </c>
    </row>
    <row r="5" customFormat="false" ht="15" hidden="false" customHeight="true" outlineLevel="0" collapsed="false">
      <c r="A5" s="7" t="n">
        <v>4</v>
      </c>
      <c r="B5" s="13" t="s">
        <v>73</v>
      </c>
      <c r="C5" s="8" t="n">
        <v>8</v>
      </c>
      <c r="D5" s="8" t="n">
        <v>45</v>
      </c>
      <c r="E5" s="9" t="n">
        <f aca="false">D6</f>
        <v>55</v>
      </c>
      <c r="F5" s="9" t="n">
        <f aca="false">E5-D5</f>
        <v>10</v>
      </c>
      <c r="G5" s="11" t="n">
        <f aca="false">ROUND(F5/C5,1)</f>
        <v>1.3</v>
      </c>
      <c r="H5" s="10" t="n">
        <f aca="false">INDEX(徳位表!$C:$C,E5+1)-INDEX(徳位表!$C:$C,D5+1)</f>
        <v>831703</v>
      </c>
      <c r="I5" s="10" t="n">
        <f aca="false">SUMIFS(徳位表!$H:$H,徳位表!$A:$A,"&gt;="&amp;D5,徳位表!$A:$A,"&lt;"&amp;E5)</f>
        <v>709</v>
      </c>
      <c r="J5" s="14" t="n">
        <v>0.95</v>
      </c>
      <c r="K5" s="11" t="n">
        <f aca="false">ROUND(I5/(パラメータ!$B$12*J5),1)</f>
        <v>7.5</v>
      </c>
      <c r="L5" s="8" t="n">
        <v>7</v>
      </c>
      <c r="M5" s="9" t="str">
        <f aca="false">IF(ABS(K5-L5)/L5&lt;=0.3,"OK","要調整")</f>
        <v>OK</v>
      </c>
    </row>
    <row r="6" customFormat="false" ht="15" hidden="false" customHeight="true" outlineLevel="0" collapsed="false">
      <c r="A6" s="7" t="n">
        <v>5</v>
      </c>
      <c r="B6" s="13" t="s">
        <v>74</v>
      </c>
      <c r="C6" s="8" t="n">
        <v>9</v>
      </c>
      <c r="D6" s="8" t="n">
        <v>55</v>
      </c>
      <c r="E6" s="9" t="n">
        <f aca="false">D7</f>
        <v>63</v>
      </c>
      <c r="F6" s="9" t="n">
        <f aca="false">E6-D6</f>
        <v>8</v>
      </c>
      <c r="G6" s="11" t="n">
        <f aca="false">ROUND(F6/C6,1)</f>
        <v>0.9</v>
      </c>
      <c r="H6" s="10" t="n">
        <f aca="false">INDEX(徳位表!$C:$C,E6+1)-INDEX(徳位表!$C:$C,D6+1)</f>
        <v>912485</v>
      </c>
      <c r="I6" s="10" t="n">
        <f aca="false">SUMIFS(徳位表!$H:$H,徳位表!$A:$A,"&gt;="&amp;D6,徳位表!$A:$A,"&lt;"&amp;E6)</f>
        <v>648</v>
      </c>
      <c r="J6" s="14" t="n">
        <v>0.9</v>
      </c>
      <c r="K6" s="11" t="n">
        <f aca="false">ROUND(I6/(パラメータ!$B$12*J6),1)</f>
        <v>7.2</v>
      </c>
      <c r="L6" s="8" t="n">
        <v>8</v>
      </c>
      <c r="M6" s="9" t="str">
        <f aca="false">IF(ABS(K6-L6)/L6&lt;=0.3,"OK","要調整")</f>
        <v>OK</v>
      </c>
    </row>
    <row r="7" customFormat="false" ht="15" hidden="false" customHeight="true" outlineLevel="0" collapsed="false">
      <c r="A7" s="7" t="n">
        <v>6</v>
      </c>
      <c r="B7" s="13" t="s">
        <v>75</v>
      </c>
      <c r="C7" s="8" t="n">
        <v>7</v>
      </c>
      <c r="D7" s="8" t="n">
        <v>63</v>
      </c>
      <c r="E7" s="9" t="n">
        <f aca="false">D8</f>
        <v>70</v>
      </c>
      <c r="F7" s="9" t="n">
        <f aca="false">E7-D7</f>
        <v>7</v>
      </c>
      <c r="G7" s="11" t="n">
        <f aca="false">ROUND(F7/C7,1)</f>
        <v>1</v>
      </c>
      <c r="H7" s="10" t="n">
        <f aca="false">INDEX(徳位表!$C:$C,E7+1)-INDEX(徳位表!$C:$C,D7+1)</f>
        <v>1003558</v>
      </c>
      <c r="I7" s="10" t="n">
        <f aca="false">SUMIFS(徳位表!$H:$H,徳位表!$A:$A,"&gt;="&amp;D7,徳位表!$A:$A,"&lt;"&amp;E7)</f>
        <v>623</v>
      </c>
      <c r="J7" s="14" t="n">
        <v>0.8</v>
      </c>
      <c r="K7" s="11" t="n">
        <f aca="false">ROUND(I7/(パラメータ!$B$12*J7),1)</f>
        <v>7.8</v>
      </c>
      <c r="L7" s="8" t="n">
        <v>8</v>
      </c>
      <c r="M7" s="9" t="str">
        <f aca="false">IF(ABS(K7-L7)/L7&lt;=0.3,"OK","要調整")</f>
        <v>OK</v>
      </c>
    </row>
    <row r="8" customFormat="false" ht="15" hidden="false" customHeight="true" outlineLevel="0" collapsed="false">
      <c r="A8" s="7" t="n">
        <v>7</v>
      </c>
      <c r="B8" s="13" t="s">
        <v>76</v>
      </c>
      <c r="C8" s="8" t="n">
        <v>4</v>
      </c>
      <c r="D8" s="8" t="n">
        <v>70</v>
      </c>
      <c r="E8" s="9" t="n">
        <f aca="false">D9</f>
        <v>76</v>
      </c>
      <c r="F8" s="9" t="n">
        <f aca="false">E8-D8</f>
        <v>6</v>
      </c>
      <c r="G8" s="11" t="n">
        <f aca="false">ROUND(F8/C8,1)</f>
        <v>1.5</v>
      </c>
      <c r="H8" s="10" t="n">
        <f aca="false">INDEX(徳位表!$C:$C,E8+1)-INDEX(徳位表!$C:$C,D8+1)</f>
        <v>1027945</v>
      </c>
      <c r="I8" s="10" t="n">
        <f aca="false">SUMIFS(徳位表!$H:$H,徳位表!$A:$A,"&gt;="&amp;D8,徳位表!$A:$A,"&lt;"&amp;E8)</f>
        <v>579</v>
      </c>
      <c r="J8" s="14" t="n">
        <v>0.7</v>
      </c>
      <c r="K8" s="11" t="n">
        <f aca="false">ROUND(I8/(パラメータ!$B$12*J8),1)</f>
        <v>8.3</v>
      </c>
      <c r="L8" s="8" t="n">
        <v>9</v>
      </c>
      <c r="M8" s="9" t="str">
        <f aca="false">IF(ABS(K8-L8)/L8&lt;=0.3,"OK","要調整")</f>
        <v>OK</v>
      </c>
    </row>
    <row r="9" customFormat="false" ht="16.5" hidden="false" customHeight="true" outlineLevel="0" collapsed="false">
      <c r="A9" s="7" t="n">
        <v>8</v>
      </c>
      <c r="B9" s="13" t="s">
        <v>77</v>
      </c>
      <c r="C9" s="8" t="n">
        <v>6</v>
      </c>
      <c r="D9" s="8" t="n">
        <v>76</v>
      </c>
      <c r="E9" s="9" t="n">
        <f aca="false">パラメータ!$B$2</f>
        <v>80</v>
      </c>
      <c r="F9" s="9" t="n">
        <f aca="false">E9-D9</f>
        <v>4</v>
      </c>
      <c r="G9" s="11" t="n">
        <f aca="false">ROUND(F9/C9,1)</f>
        <v>0.7</v>
      </c>
      <c r="H9" s="10" t="n">
        <f aca="false">INDEX(徳位表!$C:$C,E9+1)-INDEX(徳位表!$C:$C,D9+1)</f>
        <v>777645</v>
      </c>
      <c r="I9" s="10" t="n">
        <f aca="false">SUMIFS(徳位表!$H:$H,徳位表!$A:$A,"&gt;="&amp;D9,徳位表!$A:$A,"&lt;"&amp;E9)</f>
        <v>406</v>
      </c>
      <c r="J9" s="14" t="n">
        <v>0.45</v>
      </c>
      <c r="K9" s="11" t="n">
        <f aca="false">ROUND(I9/(パラメータ!$B$12*J9),1)</f>
        <v>9</v>
      </c>
      <c r="L9" s="8" t="n">
        <v>10</v>
      </c>
      <c r="M9" s="9" t="str">
        <f aca="false">IF(ABS(K9-L9)/L9&lt;=0.3,"OK","要調整")</f>
        <v>OK</v>
      </c>
    </row>
    <row r="10" customFormat="false" ht="15" hidden="false" customHeight="true" outlineLevel="0" collapsed="false">
      <c r="A10" s="7" t="s">
        <v>78</v>
      </c>
      <c r="I10" s="15" t="n">
        <f aca="false">SUM(I2:I9)</f>
        <v>4572</v>
      </c>
      <c r="K10" s="16" t="n">
        <f aca="false">SUM(K2:K9)</f>
        <v>55.2</v>
      </c>
      <c r="L10" s="16" t="n">
        <f aca="false">SUM(L2:L9)</f>
        <v>60</v>
      </c>
    </row>
    <row r="12" customFormat="false" ht="16.5" hidden="false" customHeight="true" outlineLevel="0" collapsed="false">
      <c r="A12" s="4" t="s">
        <v>79</v>
      </c>
    </row>
    <row r="13" customFormat="false" ht="16.5" hidden="false" customHeight="true" outlineLevel="0" collapsed="false">
      <c r="A13" s="4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9"/>
    <col collapsed="false" customWidth="true" hidden="false" outlineLevel="0" max="3" min="3" style="1" width="11"/>
    <col collapsed="false" customWidth="true" hidden="false" outlineLevel="0" max="4" min="4" style="1" width="13"/>
    <col collapsed="false" customWidth="true" hidden="false" outlineLevel="0" max="6" min="5" style="1" width="10"/>
    <col collapsed="false" customWidth="true" hidden="false" outlineLevel="0" max="7" min="7" style="1" width="14"/>
    <col collapsed="false" customWidth="true" hidden="false" outlineLevel="0" max="9" min="8" style="1" width="13"/>
    <col collapsed="false" customWidth="true" hidden="false" outlineLevel="0" max="10" min="10" style="1" width="11"/>
    <col collapsed="false" customWidth="true" hidden="false" outlineLevel="0" max="11" min="11" style="1" width="15"/>
    <col collapsed="false" customWidth="true" hidden="false" outlineLevel="0" max="13" min="12" style="1" width="12"/>
  </cols>
  <sheetData>
    <row r="1" customFormat="false" ht="32.25" hidden="false" customHeight="true" outlineLevel="0" collapsed="false">
      <c r="A1" s="6" t="s">
        <v>57</v>
      </c>
      <c r="B1" s="6" t="s">
        <v>81</v>
      </c>
      <c r="C1" s="6" t="s">
        <v>82</v>
      </c>
      <c r="D1" s="6" t="s">
        <v>83</v>
      </c>
      <c r="E1" s="6" t="s">
        <v>84</v>
      </c>
      <c r="F1" s="6" t="s">
        <v>85</v>
      </c>
      <c r="G1" s="6" t="s">
        <v>86</v>
      </c>
      <c r="H1" s="6" t="s">
        <v>87</v>
      </c>
      <c r="I1" s="6" t="s">
        <v>88</v>
      </c>
      <c r="J1" s="6" t="s">
        <v>89</v>
      </c>
      <c r="K1" s="6" t="s">
        <v>90</v>
      </c>
      <c r="L1" s="6" t="s">
        <v>91</v>
      </c>
      <c r="M1" s="6" t="s">
        <v>92</v>
      </c>
    </row>
    <row r="2" customFormat="false" ht="15" hidden="false" customHeight="true" outlineLevel="0" collapsed="false">
      <c r="A2" s="7" t="n">
        <v>1</v>
      </c>
      <c r="B2" s="9" t="n">
        <f aca="false">ROUND((章設計!D2+章設計!E2)/2,0)</f>
        <v>12</v>
      </c>
      <c r="C2" s="10" t="n">
        <f aca="false">INDEX(徳位表!$D:$D,B2+1)</f>
        <v>246</v>
      </c>
      <c r="D2" s="10" t="n">
        <f aca="false">INDEX(徳位表!$G:$G,B2+1)</f>
        <v>49</v>
      </c>
      <c r="E2" s="10" t="n">
        <f aca="false">ROUND(パラメータ!$B$12*章設計!J2*C2,0)</f>
        <v>27060</v>
      </c>
      <c r="F2" s="10" t="n">
        <f aca="false">ROUND(パラメータ!$B$12*章設計!J2*D2,0)</f>
        <v>5390</v>
      </c>
      <c r="G2" s="8" t="n">
        <v>10</v>
      </c>
      <c r="H2" s="10" t="n">
        <f aca="false">ROUND(E2*パラメータ!$B$15,0)</f>
        <v>6765</v>
      </c>
      <c r="I2" s="10" t="n">
        <f aca="false">ROUND(F2*パラメータ!$B$15,0)</f>
        <v>1348</v>
      </c>
      <c r="J2" s="10" t="n">
        <f aca="false">ROUND(F2*パラメータ!$B$16,0)</f>
        <v>270</v>
      </c>
      <c r="K2" s="10" t="n">
        <f aca="false">ROUND(F2*パラメータ!$B$17,-1)</f>
        <v>10780</v>
      </c>
      <c r="L2" s="10" t="n">
        <f aca="false">ROUND(INDEX(徳位表!$D:$D,章設計!E2+1)*パラメータ!$B$13,0)</f>
        <v>1916</v>
      </c>
      <c r="M2" s="10" t="n">
        <f aca="false">ROUND(INDEX(徳位表!$E:$E,章設計!E2+1)*パラメータ!$B$14,0)</f>
        <v>4494</v>
      </c>
    </row>
    <row r="3" customFormat="false" ht="15" hidden="false" customHeight="true" outlineLevel="0" collapsed="false">
      <c r="A3" s="7" t="n">
        <v>2</v>
      </c>
      <c r="B3" s="9" t="n">
        <f aca="false">ROUND((章設計!D3+章設計!E3)/2,0)</f>
        <v>28</v>
      </c>
      <c r="C3" s="10" t="n">
        <f aca="false">INDEX(徳位表!$D:$D,B3+1)</f>
        <v>625</v>
      </c>
      <c r="D3" s="10" t="n">
        <f aca="false">INDEX(徳位表!$G:$G,B3+1)</f>
        <v>125</v>
      </c>
      <c r="E3" s="10" t="n">
        <f aca="false">ROUND(パラメータ!$B$12*章設計!J3*C3,0)</f>
        <v>65625</v>
      </c>
      <c r="F3" s="10" t="n">
        <f aca="false">ROUND(パラメータ!$B$12*章設計!J3*D3,0)</f>
        <v>13125</v>
      </c>
      <c r="G3" s="8" t="n">
        <v>10</v>
      </c>
      <c r="H3" s="10" t="n">
        <f aca="false">ROUND(E3*パラメータ!$B$15,0)</f>
        <v>16406</v>
      </c>
      <c r="I3" s="10" t="n">
        <f aca="false">ROUND(F3*パラメータ!$B$15,0)</f>
        <v>3281</v>
      </c>
      <c r="J3" s="10" t="n">
        <f aca="false">ROUND(F3*パラメータ!$B$16,0)</f>
        <v>656</v>
      </c>
      <c r="K3" s="10" t="n">
        <f aca="false">ROUND(F3*パラメータ!$B$17,-1)</f>
        <v>26250</v>
      </c>
      <c r="L3" s="10" t="n">
        <f aca="false">ROUND(INDEX(徳位表!$D:$D,章設計!E3+1)*パラメータ!$B$13,0)</f>
        <v>3096</v>
      </c>
      <c r="M3" s="10" t="n">
        <f aca="false">ROUND(INDEX(徳位表!$E:$E,章設計!E3+1)*パラメータ!$B$14,0)</f>
        <v>7254</v>
      </c>
    </row>
    <row r="4" customFormat="false" ht="15" hidden="false" customHeight="true" outlineLevel="0" collapsed="false">
      <c r="A4" s="7" t="n">
        <v>3</v>
      </c>
      <c r="B4" s="9" t="n">
        <f aca="false">ROUND((章設計!D4+章設計!E4)/2,0)</f>
        <v>40</v>
      </c>
      <c r="C4" s="10" t="n">
        <f aca="false">INDEX(徳位表!$D:$D,B4+1)</f>
        <v>926</v>
      </c>
      <c r="D4" s="10" t="n">
        <f aca="false">INDEX(徳位表!$G:$G,B4+1)</f>
        <v>185</v>
      </c>
      <c r="E4" s="10" t="n">
        <f aca="false">ROUND(パラメータ!$B$12*章設計!J4*C4,0)</f>
        <v>92600</v>
      </c>
      <c r="F4" s="10" t="n">
        <f aca="false">ROUND(パラメータ!$B$12*章設計!J4*D4,0)</f>
        <v>18500</v>
      </c>
      <c r="G4" s="8" t="n">
        <v>10</v>
      </c>
      <c r="H4" s="10" t="n">
        <f aca="false">ROUND(E4*パラメータ!$B$15,0)</f>
        <v>23150</v>
      </c>
      <c r="I4" s="10" t="n">
        <f aca="false">ROUND(F4*パラメータ!$B$15,0)</f>
        <v>4625</v>
      </c>
      <c r="J4" s="10" t="n">
        <f aca="false">ROUND(F4*パラメータ!$B$16,0)</f>
        <v>925</v>
      </c>
      <c r="K4" s="10" t="n">
        <f aca="false">ROUND(F4*パラメータ!$B$17,-1)</f>
        <v>37000</v>
      </c>
      <c r="L4" s="10" t="n">
        <f aca="false">ROUND(INDEX(徳位表!$D:$D,章設計!E4+1)*パラメータ!$B$13,0)</f>
        <v>4216</v>
      </c>
      <c r="M4" s="10" t="n">
        <f aca="false">ROUND(INDEX(徳位表!$E:$E,章設計!E4+1)*パラメータ!$B$14,0)</f>
        <v>9876</v>
      </c>
    </row>
    <row r="5" customFormat="false" ht="15" hidden="false" customHeight="true" outlineLevel="0" collapsed="false">
      <c r="A5" s="7" t="n">
        <v>4</v>
      </c>
      <c r="B5" s="9" t="n">
        <f aca="false">ROUND((章設計!D5+章設計!E5)/2,0)</f>
        <v>50</v>
      </c>
      <c r="C5" s="10" t="n">
        <f aca="false">INDEX(徳位表!$D:$D,B5+1)</f>
        <v>1183</v>
      </c>
      <c r="D5" s="10" t="n">
        <f aca="false">INDEX(徳位表!$G:$G,B5+1)</f>
        <v>237</v>
      </c>
      <c r="E5" s="10" t="n">
        <f aca="false">ROUND(パラメータ!$B$12*章設計!J5*C5,0)</f>
        <v>112385</v>
      </c>
      <c r="F5" s="10" t="n">
        <f aca="false">ROUND(パラメータ!$B$12*章設計!J5*D5,0)</f>
        <v>22515</v>
      </c>
      <c r="G5" s="8" t="n">
        <v>10</v>
      </c>
      <c r="H5" s="10" t="n">
        <f aca="false">ROUND(E5*パラメータ!$B$15,0)</f>
        <v>28096</v>
      </c>
      <c r="I5" s="10" t="n">
        <f aca="false">ROUND(F5*パラメータ!$B$15,0)</f>
        <v>5629</v>
      </c>
      <c r="J5" s="10" t="n">
        <f aca="false">ROUND(F5*パラメータ!$B$16,0)</f>
        <v>1126</v>
      </c>
      <c r="K5" s="10" t="n">
        <f aca="false">ROUND(F5*パラメータ!$B$17,-1)</f>
        <v>45030</v>
      </c>
      <c r="L5" s="10" t="n">
        <f aca="false">ROUND(INDEX(徳位表!$D:$D,章設計!E5+1)*パラメータ!$B$13,0)</f>
        <v>5256</v>
      </c>
      <c r="M5" s="10" t="n">
        <f aca="false">ROUND(INDEX(徳位表!$E:$E,章設計!E5+1)*パラメータ!$B$14,0)</f>
        <v>12318</v>
      </c>
    </row>
    <row r="6" customFormat="false" ht="15" hidden="false" customHeight="true" outlineLevel="0" collapsed="false">
      <c r="A6" s="7" t="n">
        <v>5</v>
      </c>
      <c r="B6" s="9" t="n">
        <f aca="false">ROUND((章設計!D6+章設計!E6)/2,0)</f>
        <v>59</v>
      </c>
      <c r="C6" s="10" t="n">
        <f aca="false">INDEX(徳位表!$D:$D,B6+1)</f>
        <v>1419</v>
      </c>
      <c r="D6" s="10" t="n">
        <f aca="false">INDEX(徳位表!$G:$G,B6+1)</f>
        <v>284</v>
      </c>
      <c r="E6" s="10" t="n">
        <f aca="false">ROUND(パラメータ!$B$12*章設計!J6*C6,0)</f>
        <v>127710</v>
      </c>
      <c r="F6" s="10" t="n">
        <f aca="false">ROUND(パラメータ!$B$12*章設計!J6*D6,0)</f>
        <v>25560</v>
      </c>
      <c r="G6" s="8" t="n">
        <v>10</v>
      </c>
      <c r="H6" s="10" t="n">
        <f aca="false">ROUND(E6*パラメータ!$B$15,0)</f>
        <v>31928</v>
      </c>
      <c r="I6" s="10" t="n">
        <f aca="false">ROUND(F6*パラメータ!$B$15,0)</f>
        <v>6390</v>
      </c>
      <c r="J6" s="10" t="n">
        <f aca="false">ROUND(F6*パラメータ!$B$16,0)</f>
        <v>1278</v>
      </c>
      <c r="K6" s="10" t="n">
        <f aca="false">ROUND(F6*パラメータ!$B$17,-1)</f>
        <v>51120</v>
      </c>
      <c r="L6" s="10" t="n">
        <f aca="false">ROUND(INDEX(徳位表!$D:$D,章設計!E6+1)*パラメータ!$B$13,0)</f>
        <v>6100</v>
      </c>
      <c r="M6" s="10" t="n">
        <f aca="false">ROUND(INDEX(徳位表!$E:$E,章設計!E6+1)*パラメータ!$B$14,0)</f>
        <v>14298</v>
      </c>
    </row>
    <row r="7" customFormat="false" ht="15" hidden="false" customHeight="true" outlineLevel="0" collapsed="false">
      <c r="A7" s="7" t="n">
        <v>6</v>
      </c>
      <c r="B7" s="9" t="n">
        <f aca="false">ROUND((章設計!D7+章設計!E7)/2,0)</f>
        <v>67</v>
      </c>
      <c r="C7" s="10" t="n">
        <f aca="false">INDEX(徳位表!$D:$D,B7+1)</f>
        <v>1632</v>
      </c>
      <c r="D7" s="10" t="n">
        <f aca="false">INDEX(徳位表!$G:$G,B7+1)</f>
        <v>326</v>
      </c>
      <c r="E7" s="10" t="n">
        <f aca="false">ROUND(パラメータ!$B$12*章設計!J7*C7,0)</f>
        <v>130560</v>
      </c>
      <c r="F7" s="10" t="n">
        <f aca="false">ROUND(パラメータ!$B$12*章設計!J7*D7,0)</f>
        <v>26080</v>
      </c>
      <c r="G7" s="8" t="n">
        <v>10</v>
      </c>
      <c r="H7" s="10" t="n">
        <f aca="false">ROUND(E7*パラメータ!$B$15,0)</f>
        <v>32640</v>
      </c>
      <c r="I7" s="10" t="n">
        <f aca="false">ROUND(F7*パラメータ!$B$15,0)</f>
        <v>6520</v>
      </c>
      <c r="J7" s="10" t="n">
        <f aca="false">ROUND(F7*パラメータ!$B$16,0)</f>
        <v>1304</v>
      </c>
      <c r="K7" s="10" t="n">
        <f aca="false">ROUND(F7*パラメータ!$B$17,-1)</f>
        <v>52160</v>
      </c>
      <c r="L7" s="10" t="n">
        <f aca="false">ROUND(INDEX(徳位表!$D:$D,章設計!E7+1)*パラメータ!$B$13,0)</f>
        <v>6852</v>
      </c>
      <c r="M7" s="10" t="n">
        <f aca="false">ROUND(INDEX(徳位表!$E:$E,章設計!E7+1)*パラメータ!$B$14,0)</f>
        <v>16056</v>
      </c>
    </row>
    <row r="8" customFormat="false" ht="15" hidden="false" customHeight="true" outlineLevel="0" collapsed="false">
      <c r="A8" s="7" t="n">
        <v>7</v>
      </c>
      <c r="B8" s="9" t="n">
        <f aca="false">ROUND((章設計!D8+章設計!E8)/2,0)</f>
        <v>73</v>
      </c>
      <c r="C8" s="10" t="n">
        <f aca="false">INDEX(徳位表!$D:$D,B8+1)</f>
        <v>1794</v>
      </c>
      <c r="D8" s="10" t="n">
        <f aca="false">INDEX(徳位表!$G:$G,B8+1)</f>
        <v>359</v>
      </c>
      <c r="E8" s="10" t="n">
        <f aca="false">ROUND(パラメータ!$B$12*章設計!J8*C8,0)</f>
        <v>125580</v>
      </c>
      <c r="F8" s="10" t="n">
        <f aca="false">ROUND(パラメータ!$B$12*章設計!J8*D8,0)</f>
        <v>25130</v>
      </c>
      <c r="G8" s="8" t="n">
        <v>10</v>
      </c>
      <c r="H8" s="10" t="n">
        <f aca="false">ROUND(E8*パラメータ!$B$15,0)</f>
        <v>31395</v>
      </c>
      <c r="I8" s="10" t="n">
        <f aca="false">ROUND(F8*パラメータ!$B$15,0)</f>
        <v>6283</v>
      </c>
      <c r="J8" s="10" t="n">
        <f aca="false">ROUND(F8*パラメータ!$B$16,0)</f>
        <v>1257</v>
      </c>
      <c r="K8" s="10" t="n">
        <f aca="false">ROUND(F8*パラメータ!$B$17,-1)</f>
        <v>50260</v>
      </c>
      <c r="L8" s="10" t="n">
        <f aca="false">ROUND(INDEX(徳位表!$D:$D,章設計!E8+1)*パラメータ!$B$13,0)</f>
        <v>7500</v>
      </c>
      <c r="M8" s="10" t="n">
        <f aca="false">ROUND(INDEX(徳位表!$E:$E,章設計!E8+1)*パラメータ!$B$14,0)</f>
        <v>17580</v>
      </c>
    </row>
    <row r="9" customFormat="false" ht="15" hidden="false" customHeight="true" outlineLevel="0" collapsed="false">
      <c r="A9" s="7" t="n">
        <v>8</v>
      </c>
      <c r="B9" s="9" t="n">
        <f aca="false">ROUND((章設計!D9+章設計!E9)/2,0)</f>
        <v>78</v>
      </c>
      <c r="C9" s="10" t="n">
        <f aca="false">INDEX(徳位表!$D:$D,B9+1)</f>
        <v>1929</v>
      </c>
      <c r="D9" s="10" t="n">
        <f aca="false">INDEX(徳位表!$G:$G,B9+1)</f>
        <v>386</v>
      </c>
      <c r="E9" s="10" t="n">
        <f aca="false">ROUND(パラメータ!$B$12*章設計!J9*C9,0)</f>
        <v>86805</v>
      </c>
      <c r="F9" s="10" t="n">
        <f aca="false">ROUND(パラメータ!$B$12*章設計!J9*D9,0)</f>
        <v>17370</v>
      </c>
      <c r="G9" s="8" t="n">
        <v>10</v>
      </c>
      <c r="H9" s="10" t="n">
        <f aca="false">ROUND(E9*パラメータ!$B$15,0)</f>
        <v>21701</v>
      </c>
      <c r="I9" s="10" t="n">
        <f aca="false">ROUND(F9*パラメータ!$B$15,0)</f>
        <v>4343</v>
      </c>
      <c r="J9" s="10" t="n">
        <f aca="false">ROUND(F9*パラメータ!$B$16,0)</f>
        <v>869</v>
      </c>
      <c r="K9" s="10" t="n">
        <f aca="false">ROUND(F9*パラメータ!$B$17,-1)</f>
        <v>34740</v>
      </c>
      <c r="L9" s="10" t="n">
        <f aca="false">ROUND(INDEX(徳位表!$D:$D,章設計!E9+1)*パラメータ!$B$13,0)</f>
        <v>7936</v>
      </c>
      <c r="M9" s="10" t="n">
        <f aca="false">ROUND(INDEX(徳位表!$E:$E,章設計!E9+1)*パラメータ!$B$14,0)</f>
        <v>18600</v>
      </c>
    </row>
    <row r="11" customFormat="false" ht="16.5" hidden="false" customHeight="true" outlineLevel="0" collapsed="false">
      <c r="A11" s="4" t="s">
        <v>93</v>
      </c>
    </row>
    <row r="12" customFormat="false" ht="16.5" hidden="false" customHeight="true" outlineLevel="0" collapsed="false">
      <c r="A12" s="4" t="s">
        <v>94</v>
      </c>
    </row>
    <row r="13" customFormat="false" ht="16.5" hidden="false" customHeight="true" outlineLevel="0" collapsed="false">
      <c r="A13" s="4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0"/>
    <col collapsed="false" customWidth="true" hidden="false" outlineLevel="0" max="3" min="3" style="1" width="26"/>
    <col collapsed="false" customWidth="true" hidden="false" outlineLevel="0" max="4" min="4" style="1" width="30"/>
  </cols>
  <sheetData>
    <row r="1" customFormat="false" ht="32.25" hidden="false" customHeight="true" outlineLevel="0" collapsed="false">
      <c r="A1" s="6" t="s">
        <v>96</v>
      </c>
      <c r="B1" s="6" t="s">
        <v>97</v>
      </c>
      <c r="C1" s="12" t="s">
        <v>98</v>
      </c>
      <c r="D1" s="6" t="s">
        <v>18</v>
      </c>
    </row>
    <row r="2" customFormat="false" ht="15" hidden="false" customHeight="true" outlineLevel="0" collapsed="false">
      <c r="A2" s="17" t="s">
        <v>99</v>
      </c>
      <c r="B2" s="18" t="n">
        <v>1</v>
      </c>
      <c r="C2" s="19" t="n">
        <f aca="false">1/B2</f>
        <v>1</v>
      </c>
      <c r="D2" s="17"/>
    </row>
    <row r="3" customFormat="false" ht="15" hidden="false" customHeight="true" outlineLevel="0" collapsed="false">
      <c r="A3" s="17" t="s">
        <v>100</v>
      </c>
      <c r="B3" s="18" t="n">
        <v>1</v>
      </c>
      <c r="C3" s="19" t="n">
        <f aca="false">(C2+1)/B3</f>
        <v>2</v>
      </c>
      <c r="D3" s="17"/>
    </row>
    <row r="4" customFormat="false" ht="16.5" hidden="false" customHeight="true" outlineLevel="0" collapsed="false">
      <c r="A4" s="17" t="s">
        <v>101</v>
      </c>
      <c r="B4" s="18" t="n">
        <v>1</v>
      </c>
      <c r="C4" s="19" t="n">
        <f aca="false">(C3+1)/B4</f>
        <v>3</v>
      </c>
      <c r="D4" s="9" t="s">
        <v>102</v>
      </c>
    </row>
    <row r="5" customFormat="false" ht="15" hidden="false" customHeight="true" outlineLevel="0" collapsed="false">
      <c r="A5" s="17" t="s">
        <v>103</v>
      </c>
      <c r="B5" s="18" t="n">
        <v>0.8</v>
      </c>
      <c r="C5" s="19" t="n">
        <f aca="false">(C4+1)/B5</f>
        <v>5</v>
      </c>
      <c r="D5" s="17"/>
    </row>
    <row r="6" customFormat="false" ht="15" hidden="false" customHeight="true" outlineLevel="0" collapsed="false">
      <c r="A6" s="17" t="s">
        <v>104</v>
      </c>
      <c r="B6" s="18" t="n">
        <v>0.65</v>
      </c>
      <c r="C6" s="19" t="n">
        <f aca="false">(C5+1)/B6</f>
        <v>9.23076923076923</v>
      </c>
      <c r="D6" s="9" t="s">
        <v>105</v>
      </c>
    </row>
    <row r="7" customFormat="false" ht="15" hidden="false" customHeight="true" outlineLevel="0" collapsed="false">
      <c r="A7" s="17" t="s">
        <v>106</v>
      </c>
      <c r="B7" s="18" t="n">
        <v>0.5</v>
      </c>
      <c r="C7" s="19" t="n">
        <f aca="false">(C6+1)/B7</f>
        <v>20.4615384615385</v>
      </c>
      <c r="D7" s="17"/>
    </row>
    <row r="8" customFormat="false" ht="15" hidden="false" customHeight="true" outlineLevel="0" collapsed="false">
      <c r="A8" s="17" t="s">
        <v>107</v>
      </c>
      <c r="B8" s="18" t="n">
        <v>0.4</v>
      </c>
      <c r="C8" s="19" t="n">
        <f aca="false">(C7+1)/B8</f>
        <v>53.6538461538461</v>
      </c>
      <c r="D8" s="9" t="s">
        <v>108</v>
      </c>
    </row>
    <row r="9" customFormat="false" ht="15" hidden="false" customHeight="true" outlineLevel="0" collapsed="false">
      <c r="A9" s="17" t="s">
        <v>109</v>
      </c>
      <c r="B9" s="18" t="n">
        <v>0.3</v>
      </c>
      <c r="C9" s="19" t="n">
        <f aca="false">(C8+1)/B9</f>
        <v>182.179487179487</v>
      </c>
      <c r="D9" s="17"/>
    </row>
    <row r="10" customFormat="false" ht="16.5" hidden="false" customHeight="true" outlineLevel="0" collapsed="false">
      <c r="A10" s="17" t="s">
        <v>110</v>
      </c>
      <c r="B10" s="18" t="n">
        <v>0.25</v>
      </c>
      <c r="C10" s="19" t="n">
        <f aca="false">(C9+1)/B10</f>
        <v>732.717948717949</v>
      </c>
      <c r="D10" s="9" t="s">
        <v>111</v>
      </c>
    </row>
    <row r="12" customFormat="false" ht="16.5" hidden="false" customHeight="true" outlineLevel="0" collapsed="false">
      <c r="A12" s="4" t="s">
        <v>112</v>
      </c>
    </row>
    <row r="13" customFormat="false" ht="16.5" hidden="false" customHeight="true" outlineLevel="0" collapsed="false">
      <c r="A13" s="4" t="s">
        <v>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5"/>
    <col collapsed="false" customWidth="true" hidden="false" outlineLevel="0" max="3" min="3" style="1" width="9"/>
    <col collapsed="false" customWidth="true" hidden="false" outlineLevel="0" max="4" min="4" style="1" width="11"/>
    <col collapsed="false" customWidth="true" hidden="false" outlineLevel="0" max="6" min="5" style="1" width="9"/>
    <col collapsed="false" customWidth="true" hidden="false" outlineLevel="0" max="7" min="7" style="1" width="11"/>
    <col collapsed="false" customWidth="true" hidden="false" outlineLevel="0" max="8" min="8" style="1" width="9"/>
    <col collapsed="false" customWidth="true" hidden="false" outlineLevel="0" max="10" min="9" style="1" width="13"/>
    <col collapsed="false" customWidth="true" hidden="false" outlineLevel="0" max="11" min="11" style="1" width="7"/>
  </cols>
  <sheetData>
    <row r="1" customFormat="false" ht="32.25" hidden="false" customHeight="true" outlineLevel="0" collapsed="false">
      <c r="A1" s="6" t="s">
        <v>114</v>
      </c>
      <c r="B1" s="12" t="s">
        <v>115</v>
      </c>
      <c r="C1" s="6" t="s">
        <v>116</v>
      </c>
      <c r="D1" s="6" t="s">
        <v>117</v>
      </c>
      <c r="E1" s="12" t="s">
        <v>118</v>
      </c>
      <c r="F1" s="6" t="s">
        <v>119</v>
      </c>
      <c r="G1" s="6" t="s">
        <v>120</v>
      </c>
      <c r="H1" s="12" t="s">
        <v>121</v>
      </c>
      <c r="I1" s="6" t="s">
        <v>122</v>
      </c>
      <c r="J1" s="6" t="s">
        <v>123</v>
      </c>
      <c r="K1" s="6" t="s">
        <v>124</v>
      </c>
    </row>
    <row r="2" customFormat="false" ht="15" hidden="false" customHeight="true" outlineLevel="0" collapsed="false">
      <c r="A2" s="7" t="s">
        <v>125</v>
      </c>
      <c r="B2" s="17" t="n">
        <v>1</v>
      </c>
      <c r="C2" s="10" t="n">
        <v>30</v>
      </c>
      <c r="D2" s="10" t="n">
        <f aca="false">ROUND(パラメータ!$B$7*B2^パラメータ!$B$8,0)</f>
        <v>25</v>
      </c>
      <c r="E2" s="20" t="n">
        <f aca="false">IF(D2=0,"",(C2-D2)/D2)</f>
        <v>0.2</v>
      </c>
      <c r="F2" s="10" t="n">
        <v>14</v>
      </c>
      <c r="G2" s="10" t="n">
        <f aca="false">ROUND(パラメータ!$B$5*B2^パラメータ!$B$6,0)</f>
        <v>16</v>
      </c>
      <c r="H2" s="20" t="n">
        <f aca="false">IF(G2=0,"",(F2-G2)/G2)</f>
        <v>-0.125</v>
      </c>
      <c r="I2" s="19" t="n">
        <v>5.5</v>
      </c>
      <c r="J2" s="10" t="n">
        <f aca="false">ROUND(G2*パラメータ!$B$11,0)</f>
        <v>3</v>
      </c>
      <c r="K2" s="17"/>
    </row>
    <row r="3" customFormat="false" ht="15" hidden="false" customHeight="true" outlineLevel="0" collapsed="false">
      <c r="A3" s="7" t="s">
        <v>126</v>
      </c>
      <c r="B3" s="17" t="n">
        <v>3</v>
      </c>
      <c r="C3" s="10" t="n">
        <v>55</v>
      </c>
      <c r="D3" s="10" t="n">
        <f aca="false">ROUND(パラメータ!$B$7*B3^パラメータ!$B$8,0)</f>
        <v>84</v>
      </c>
      <c r="E3" s="20" t="n">
        <f aca="false">IF(D3=0,"",(C3-D3)/D3)</f>
        <v>-0.345238095238095</v>
      </c>
      <c r="F3" s="10" t="n">
        <v>30</v>
      </c>
      <c r="G3" s="10" t="n">
        <f aca="false">ROUND(パラメータ!$B$5*B3^パラメータ!$B$6,0)</f>
        <v>54</v>
      </c>
      <c r="H3" s="20" t="n">
        <f aca="false">IF(G3=0,"",(F3-G3)/G3)</f>
        <v>-0.444444444444444</v>
      </c>
      <c r="I3" s="19" t="n">
        <v>10</v>
      </c>
      <c r="J3" s="10" t="n">
        <f aca="false">ROUND(G3*パラメータ!$B$11,0)</f>
        <v>11</v>
      </c>
      <c r="K3" s="17"/>
    </row>
    <row r="4" customFormat="false" ht="15" hidden="false" customHeight="true" outlineLevel="0" collapsed="false">
      <c r="A4" s="7" t="s">
        <v>127</v>
      </c>
      <c r="B4" s="17" t="n">
        <v>4</v>
      </c>
      <c r="C4" s="10" t="n">
        <v>70</v>
      </c>
      <c r="D4" s="10" t="n">
        <f aca="false">ROUND(パラメータ!$B$7*B4^パラメータ!$B$8,0)</f>
        <v>115</v>
      </c>
      <c r="E4" s="20" t="n">
        <f aca="false">IF(D4=0,"",(C4-D4)/D4)</f>
        <v>-0.391304347826087</v>
      </c>
      <c r="F4" s="10" t="n">
        <v>45</v>
      </c>
      <c r="G4" s="10" t="n">
        <f aca="false">ROUND(パラメータ!$B$5*B4^パラメータ!$B$6,0)</f>
        <v>74</v>
      </c>
      <c r="H4" s="20" t="n">
        <f aca="false">IF(G4=0,"",(F4-G4)/G4)</f>
        <v>-0.391891891891892</v>
      </c>
      <c r="I4" s="19" t="n">
        <v>15</v>
      </c>
      <c r="J4" s="10" t="n">
        <f aca="false">ROUND(G4*パラメータ!$B$11,0)</f>
        <v>15</v>
      </c>
      <c r="K4" s="17"/>
    </row>
    <row r="5" customFormat="false" ht="15" hidden="false" customHeight="true" outlineLevel="0" collapsed="false">
      <c r="A5" s="7" t="s">
        <v>128</v>
      </c>
      <c r="B5" s="17" t="n">
        <v>5</v>
      </c>
      <c r="C5" s="10" t="n">
        <v>95</v>
      </c>
      <c r="D5" s="10" t="n">
        <f aca="false">ROUND(パラメータ!$B$7*B5^パラメータ!$B$8,0)</f>
        <v>147</v>
      </c>
      <c r="E5" s="20" t="n">
        <f aca="false">IF(D5=0,"",(C5-D5)/D5)</f>
        <v>-0.353741496598639</v>
      </c>
      <c r="F5" s="10" t="n">
        <v>62</v>
      </c>
      <c r="G5" s="10" t="n">
        <f aca="false">ROUND(パラメータ!$B$5*B5^パラメータ!$B$6,0)</f>
        <v>94</v>
      </c>
      <c r="H5" s="20" t="n">
        <f aca="false">IF(G5=0,"",(F5-G5)/G5)</f>
        <v>-0.340425531914894</v>
      </c>
      <c r="I5" s="19" t="n">
        <v>19</v>
      </c>
      <c r="J5" s="10" t="n">
        <f aca="false">ROUND(G5*パラメータ!$B$11,0)</f>
        <v>19</v>
      </c>
      <c r="K5" s="17"/>
    </row>
    <row r="6" customFormat="false" ht="15" hidden="false" customHeight="true" outlineLevel="0" collapsed="false">
      <c r="A6" s="7" t="s">
        <v>129</v>
      </c>
      <c r="B6" s="17" t="n">
        <v>7</v>
      </c>
      <c r="C6" s="10" t="n">
        <v>150</v>
      </c>
      <c r="D6" s="10" t="n">
        <f aca="false">ROUND(パラメータ!$B$7*B6^パラメータ!$B$8,0)</f>
        <v>213</v>
      </c>
      <c r="E6" s="20" t="n">
        <f aca="false">IF(D6=0,"",(C6-D6)/D6)</f>
        <v>-0.295774647887324</v>
      </c>
      <c r="F6" s="10" t="n">
        <v>120</v>
      </c>
      <c r="G6" s="10" t="n">
        <f aca="false">ROUND(パラメータ!$B$5*B6^パラメータ!$B$6,0)</f>
        <v>136</v>
      </c>
      <c r="H6" s="20" t="n">
        <f aca="false">IF(G6=0,"",(F6-G6)/G6)</f>
        <v>-0.117647058823529</v>
      </c>
      <c r="I6" s="19" t="n">
        <v>45</v>
      </c>
      <c r="J6" s="10" t="n">
        <f aca="false">ROUND(G6*パラメータ!$B$11,0)</f>
        <v>27</v>
      </c>
      <c r="K6" s="17"/>
    </row>
    <row r="7" customFormat="false" ht="15" hidden="false" customHeight="true" outlineLevel="0" collapsed="false">
      <c r="A7" s="7" t="s">
        <v>130</v>
      </c>
      <c r="B7" s="17" t="n">
        <v>8</v>
      </c>
      <c r="C7" s="10" t="n">
        <v>380</v>
      </c>
      <c r="D7" s="10" t="n">
        <f aca="false">ROUND(パラメータ!$B$7*B7^パラメータ!$B$8*パラメータ!$B$14,0)</f>
        <v>1477</v>
      </c>
      <c r="E7" s="20" t="n">
        <f aca="false">IF(D7=0,"",(C7-D7)/D7)</f>
        <v>-0.74272173324306</v>
      </c>
      <c r="F7" s="10" t="n">
        <v>300</v>
      </c>
      <c r="G7" s="10" t="n">
        <f aca="false">ROUND(パラメータ!$B$5*B7^パラメータ!$B$6*パラメータ!$B$13,0)</f>
        <v>630</v>
      </c>
      <c r="H7" s="20" t="n">
        <f aca="false">IF(G7=0,"",(F7-G7)/G7)</f>
        <v>-0.523809523809524</v>
      </c>
      <c r="I7" s="19" t="n">
        <v>110</v>
      </c>
      <c r="J7" s="10" t="n">
        <f aca="false">ROUND(G7*パラメータ!$B$11,0)</f>
        <v>126</v>
      </c>
      <c r="K7" s="9" t="s">
        <v>131</v>
      </c>
    </row>
    <row r="8" customFormat="false" ht="15" hidden="false" customHeight="true" outlineLevel="0" collapsed="false">
      <c r="A8" s="7" t="s">
        <v>132</v>
      </c>
      <c r="B8" s="17" t="n">
        <v>9</v>
      </c>
      <c r="C8" s="10" t="n">
        <v>200</v>
      </c>
      <c r="D8" s="10" t="n">
        <f aca="false">ROUND(パラメータ!$B$7*B8^パラメータ!$B$8,0)</f>
        <v>280</v>
      </c>
      <c r="E8" s="20" t="n">
        <f aca="false">IF(D8=0,"",(C8-D8)/D8)</f>
        <v>-0.285714285714286</v>
      </c>
      <c r="F8" s="10" t="n">
        <v>170</v>
      </c>
      <c r="G8" s="10" t="n">
        <f aca="false">ROUND(パラメータ!$B$5*B8^パラメータ!$B$6,0)</f>
        <v>179</v>
      </c>
      <c r="H8" s="20" t="n">
        <f aca="false">IF(G8=0,"",(F8-G8)/G8)</f>
        <v>-0.0502793296089386</v>
      </c>
      <c r="I8" s="19" t="n">
        <v>42.5</v>
      </c>
      <c r="J8" s="10" t="n">
        <f aca="false">ROUND(G8*パラメータ!$B$11,0)</f>
        <v>36</v>
      </c>
      <c r="K8" s="17"/>
    </row>
    <row r="9" customFormat="false" ht="15" hidden="false" customHeight="true" outlineLevel="0" collapsed="false">
      <c r="A9" s="7" t="s">
        <v>133</v>
      </c>
      <c r="B9" s="17" t="n">
        <v>11</v>
      </c>
      <c r="C9" s="10" t="n">
        <v>290</v>
      </c>
      <c r="D9" s="10" t="n">
        <f aca="false">ROUND(パラメータ!$B$7*B9^パラメータ!$B$8,0)</f>
        <v>350</v>
      </c>
      <c r="E9" s="20" t="n">
        <f aca="false">IF(D9=0,"",(C9-D9)/D9)</f>
        <v>-0.171428571428571</v>
      </c>
      <c r="F9" s="10" t="n">
        <v>260</v>
      </c>
      <c r="G9" s="10" t="n">
        <f aca="false">ROUND(パラメータ!$B$5*B9^パラメータ!$B$6,0)</f>
        <v>224</v>
      </c>
      <c r="H9" s="20" t="n">
        <f aca="false">IF(G9=0,"",(F9-G9)/G9)</f>
        <v>0.160714285714286</v>
      </c>
      <c r="I9" s="19" t="n">
        <v>70</v>
      </c>
      <c r="J9" s="10" t="n">
        <f aca="false">ROUND(G9*パラメータ!$B$11,0)</f>
        <v>45</v>
      </c>
      <c r="K9" s="17"/>
    </row>
    <row r="10" customFormat="false" ht="15" hidden="false" customHeight="true" outlineLevel="0" collapsed="false">
      <c r="A10" s="7" t="s">
        <v>134</v>
      </c>
      <c r="B10" s="17" t="n">
        <v>13</v>
      </c>
      <c r="C10" s="10" t="n">
        <v>420</v>
      </c>
      <c r="D10" s="10" t="n">
        <f aca="false">ROUND(パラメータ!$B$7*B10^パラメータ!$B$8,0)</f>
        <v>420</v>
      </c>
      <c r="E10" s="20" t="n">
        <f aca="false">IF(D10=0,"",(C10-D10)/D10)</f>
        <v>0</v>
      </c>
      <c r="F10" s="10" t="n">
        <v>380</v>
      </c>
      <c r="G10" s="10" t="n">
        <f aca="false">ROUND(パラメータ!$B$5*B10^パラメータ!$B$6,0)</f>
        <v>269</v>
      </c>
      <c r="H10" s="20" t="n">
        <f aca="false">IF(G10=0,"",(F10-G10)/G10)</f>
        <v>0.412639405204461</v>
      </c>
      <c r="I10" s="19" t="n">
        <v>95</v>
      </c>
      <c r="J10" s="10" t="n">
        <f aca="false">ROUND(G10*パラメータ!$B$11,0)</f>
        <v>54</v>
      </c>
      <c r="K10" s="17"/>
    </row>
    <row r="11" customFormat="false" ht="15" hidden="false" customHeight="true" outlineLevel="0" collapsed="false">
      <c r="A11" s="7" t="s">
        <v>135</v>
      </c>
      <c r="B11" s="17" t="n">
        <v>16</v>
      </c>
      <c r="C11" s="10" t="n">
        <v>2600</v>
      </c>
      <c r="D11" s="10" t="n">
        <f aca="false">ROUND(パラメータ!$B$7*B11^パラメータ!$B$8*パラメータ!$B$14,0)</f>
        <v>3167</v>
      </c>
      <c r="E11" s="20" t="n">
        <f aca="false">IF(D11=0,"",(C11-D11)/D11)</f>
        <v>-0.179033785917272</v>
      </c>
      <c r="F11" s="10" t="n">
        <v>1400</v>
      </c>
      <c r="G11" s="10" t="n">
        <f aca="false">ROUND(パラメータ!$B$5*B11^パラメータ!$B$6*パラメータ!$B$13,0)</f>
        <v>1351</v>
      </c>
      <c r="H11" s="20" t="n">
        <f aca="false">IF(G11=0,"",(F11-G11)/G11)</f>
        <v>0.0362694300518135</v>
      </c>
      <c r="I11" s="19" t="n">
        <v>375</v>
      </c>
      <c r="J11" s="10" t="n">
        <f aca="false">ROUND(G11*パラメータ!$B$11,0)</f>
        <v>270</v>
      </c>
      <c r="K11" s="9" t="s">
        <v>131</v>
      </c>
    </row>
    <row r="12" customFormat="false" ht="15" hidden="false" customHeight="true" outlineLevel="0" collapsed="false">
      <c r="A12" s="7" t="s">
        <v>136</v>
      </c>
      <c r="B12" s="17" t="n">
        <v>18</v>
      </c>
      <c r="C12" s="10" t="n">
        <v>520</v>
      </c>
      <c r="D12" s="10" t="n">
        <f aca="false">ROUND(パラメータ!$B$7*B12^パラメータ!$B$8,0)</f>
        <v>601</v>
      </c>
      <c r="E12" s="20" t="n">
        <f aca="false">IF(D12=0,"",(C12-D12)/D12)</f>
        <v>-0.13477537437604</v>
      </c>
      <c r="F12" s="10" t="n">
        <v>430</v>
      </c>
      <c r="G12" s="10" t="n">
        <f aca="false">ROUND(パラメータ!$B$5*B12^パラメータ!$B$6,0)</f>
        <v>385</v>
      </c>
      <c r="H12" s="20" t="n">
        <f aca="false">IF(G12=0,"",(F12-G12)/G12)</f>
        <v>0.116883116883117</v>
      </c>
      <c r="I12" s="19" t="n">
        <v>85</v>
      </c>
      <c r="J12" s="10" t="n">
        <f aca="false">ROUND(G12*パラメータ!$B$11,0)</f>
        <v>77</v>
      </c>
      <c r="K12" s="17"/>
    </row>
    <row r="13" customFormat="false" ht="15" hidden="false" customHeight="true" outlineLevel="0" collapsed="false">
      <c r="A13" s="7" t="s">
        <v>137</v>
      </c>
      <c r="B13" s="17" t="n">
        <v>22</v>
      </c>
      <c r="C13" s="10" t="n">
        <v>680</v>
      </c>
      <c r="D13" s="10" t="n">
        <f aca="false">ROUND(パラメータ!$B$7*B13^パラメータ!$B$8,0)</f>
        <v>749</v>
      </c>
      <c r="E13" s="20" t="n">
        <f aca="false">IF(D13=0,"",(C13-D13)/D13)</f>
        <v>-0.0921228304405874</v>
      </c>
      <c r="F13" s="10" t="n">
        <v>580</v>
      </c>
      <c r="G13" s="10" t="n">
        <f aca="false">ROUND(パラメータ!$B$5*B13^パラメータ!$B$6,0)</f>
        <v>479</v>
      </c>
      <c r="H13" s="20" t="n">
        <f aca="false">IF(G13=0,"",(F13-G13)/G13)</f>
        <v>0.210855949895616</v>
      </c>
      <c r="I13" s="19" t="n">
        <v>107.5</v>
      </c>
      <c r="J13" s="10" t="n">
        <f aca="false">ROUND(G13*パラメータ!$B$11,0)</f>
        <v>96</v>
      </c>
      <c r="K13" s="17"/>
    </row>
    <row r="14" customFormat="false" ht="15" hidden="false" customHeight="true" outlineLevel="0" collapsed="false">
      <c r="A14" s="7" t="s">
        <v>138</v>
      </c>
      <c r="B14" s="17" t="n">
        <v>26</v>
      </c>
      <c r="C14" s="10" t="n">
        <v>900</v>
      </c>
      <c r="D14" s="10" t="n">
        <f aca="false">ROUND(パラメータ!$B$7*B14^パラメータ!$B$8,0)</f>
        <v>900</v>
      </c>
      <c r="E14" s="20" t="n">
        <f aca="false">IF(D14=0,"",(C14-D14)/D14)</f>
        <v>0</v>
      </c>
      <c r="F14" s="10" t="n">
        <v>780</v>
      </c>
      <c r="G14" s="10" t="n">
        <f aca="false">ROUND(パラメータ!$B$5*B14^パラメータ!$B$6,0)</f>
        <v>576</v>
      </c>
      <c r="H14" s="20" t="n">
        <f aca="false">IF(G14=0,"",(F14-G14)/G14)</f>
        <v>0.354166666666667</v>
      </c>
      <c r="I14" s="19" t="n">
        <v>132.5</v>
      </c>
      <c r="J14" s="10" t="n">
        <f aca="false">ROUND(G14*パラメータ!$B$11,0)</f>
        <v>115</v>
      </c>
      <c r="K14" s="17"/>
    </row>
    <row r="15" customFormat="false" ht="15" hidden="false" customHeight="true" outlineLevel="0" collapsed="false">
      <c r="A15" s="7" t="s">
        <v>139</v>
      </c>
      <c r="B15" s="17" t="n">
        <v>30</v>
      </c>
      <c r="C15" s="10" t="n">
        <v>6800</v>
      </c>
      <c r="D15" s="10" t="n">
        <f aca="false">ROUND(パラメータ!$B$7*B15^パラメータ!$B$8*パラメータ!$B$14,0)</f>
        <v>6323</v>
      </c>
      <c r="E15" s="20" t="n">
        <f aca="false">IF(D15=0,"",(C15-D15)/D15)</f>
        <v>0.0754388739522379</v>
      </c>
      <c r="F15" s="10" t="n">
        <v>2000</v>
      </c>
      <c r="G15" s="10" t="n">
        <f aca="false">ROUND(パラメータ!$B$5*B15^パラメータ!$B$6*パラメータ!$B$13,0)</f>
        <v>2698</v>
      </c>
      <c r="H15" s="20" t="n">
        <f aca="false">IF(G15=0,"",(F15-G15)/G15)</f>
        <v>-0.258710155670867</v>
      </c>
      <c r="I15" s="19" t="n">
        <v>550</v>
      </c>
      <c r="J15" s="10" t="n">
        <f aca="false">ROUND(G15*パラメータ!$B$11,0)</f>
        <v>540</v>
      </c>
      <c r="K15" s="9" t="s">
        <v>131</v>
      </c>
    </row>
    <row r="16" customFormat="false" ht="15" hidden="false" customHeight="true" outlineLevel="0" collapsed="false">
      <c r="A16" s="7" t="s">
        <v>140</v>
      </c>
      <c r="B16" s="17" t="n">
        <v>50</v>
      </c>
      <c r="C16" s="10" t="n">
        <v>13600</v>
      </c>
      <c r="D16" s="10" t="n">
        <f aca="false">ROUND(パラメータ!$B$7*B16^パラメータ!$B$8*パラメータ!$B$14,0)</f>
        <v>11091</v>
      </c>
      <c r="E16" s="20" t="n">
        <f aca="false">IF(D16=0,"",(C16-D16)/D16)</f>
        <v>0.226219457217564</v>
      </c>
      <c r="F16" s="10" t="n">
        <v>700</v>
      </c>
      <c r="G16" s="10" t="n">
        <f aca="false">ROUND(パラメータ!$B$5*B16^パラメータ!$B$6*パラメータ!$B$13,0)</f>
        <v>4732</v>
      </c>
      <c r="H16" s="20" t="n">
        <f aca="false">IF(G16=0,"",(F16-G16)/G16)</f>
        <v>-0.85207100591716</v>
      </c>
      <c r="I16" s="19" t="n">
        <v>260</v>
      </c>
      <c r="J16" s="10" t="n">
        <f aca="false">ROUND(G16*パラメータ!$B$11,0)</f>
        <v>946</v>
      </c>
      <c r="K16" s="9" t="s">
        <v>131</v>
      </c>
    </row>
    <row r="18" customFormat="false" ht="16.5" hidden="false" customHeight="true" outlineLevel="0" collapsed="false">
      <c r="A18" s="4" t="s">
        <v>141</v>
      </c>
    </row>
    <row r="19" customFormat="false" ht="16.5" hidden="false" customHeight="true" outlineLevel="0" collapsed="false">
      <c r="A19" s="4" t="s">
        <v>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7"/>
    <col collapsed="false" customWidth="true" hidden="false" outlineLevel="0" max="5" min="4" style="0" width="20"/>
    <col collapsed="false" customWidth="true" hidden="false" outlineLevel="0" max="6" min="6" style="0" width="30"/>
  </cols>
  <sheetData>
    <row r="1" customFormat="false" ht="19.4" hidden="false" customHeight="false" outlineLevel="0" collapsed="false">
      <c r="A1" s="21" t="s">
        <v>143</v>
      </c>
      <c r="H1" s="22" t="s">
        <v>144</v>
      </c>
      <c r="I1" s="23" t="n">
        <v>6</v>
      </c>
    </row>
    <row r="2" customFormat="false" ht="17.15" hidden="false" customHeight="false" outlineLevel="0" collapsed="false">
      <c r="H2" s="24" t="s">
        <v>145</v>
      </c>
    </row>
    <row r="3" customFormat="false" ht="32.8" hidden="false" customHeight="false" outlineLevel="0" collapsed="false">
      <c r="A3" s="25" t="s">
        <v>146</v>
      </c>
      <c r="B3" s="25" t="s">
        <v>147</v>
      </c>
      <c r="C3" s="25" t="s">
        <v>148</v>
      </c>
      <c r="D3" s="12" t="s">
        <v>149</v>
      </c>
      <c r="E3" s="25" t="s">
        <v>150</v>
      </c>
      <c r="F3" s="25" t="s">
        <v>18</v>
      </c>
    </row>
    <row r="4" customFormat="false" ht="15" hidden="false" customHeight="false" outlineLevel="0" collapsed="false">
      <c r="A4" s="26" t="s">
        <v>99</v>
      </c>
      <c r="B4" s="27" t="n">
        <v>1</v>
      </c>
      <c r="C4" s="28" t="n">
        <f aca="false">1/B4</f>
        <v>1</v>
      </c>
      <c r="D4" s="28" t="n">
        <f aca="false">C4</f>
        <v>1</v>
      </c>
      <c r="E4" s="29" t="n">
        <f aca="false">D4/$I$1</f>
        <v>0.166666666666667</v>
      </c>
      <c r="F4" s="26"/>
    </row>
    <row r="5" customFormat="false" ht="15" hidden="false" customHeight="false" outlineLevel="0" collapsed="false">
      <c r="A5" s="26" t="s">
        <v>100</v>
      </c>
      <c r="B5" s="27" t="n">
        <v>1</v>
      </c>
      <c r="C5" s="28" t="n">
        <f aca="false">1/B5</f>
        <v>1</v>
      </c>
      <c r="D5" s="28" t="n">
        <f aca="false">D4+C5</f>
        <v>2</v>
      </c>
      <c r="E5" s="29" t="n">
        <f aca="false">D5/$I$1</f>
        <v>0.333333333333333</v>
      </c>
      <c r="F5" s="26"/>
    </row>
    <row r="6" customFormat="false" ht="15" hidden="false" customHeight="false" outlineLevel="0" collapsed="false">
      <c r="A6" s="26" t="s">
        <v>101</v>
      </c>
      <c r="B6" s="27" t="n">
        <v>1</v>
      </c>
      <c r="C6" s="28" t="n">
        <f aca="false">1/B6</f>
        <v>1</v>
      </c>
      <c r="D6" s="28" t="n">
        <f aca="false">D5+C6</f>
        <v>3</v>
      </c>
      <c r="E6" s="29" t="n">
        <f aca="false">D6/$I$1</f>
        <v>0.5</v>
      </c>
      <c r="F6" s="30" t="s">
        <v>151</v>
      </c>
    </row>
    <row r="7" customFormat="false" ht="15" hidden="false" customHeight="false" outlineLevel="0" collapsed="false">
      <c r="A7" s="26" t="s">
        <v>103</v>
      </c>
      <c r="B7" s="27" t="n">
        <v>0.8</v>
      </c>
      <c r="C7" s="28" t="n">
        <f aca="false">1/B7</f>
        <v>1.25</v>
      </c>
      <c r="D7" s="28" t="n">
        <f aca="false">D6+C7</f>
        <v>4.25</v>
      </c>
      <c r="E7" s="29" t="n">
        <f aca="false">D7/$I$1</f>
        <v>0.708333333333333</v>
      </c>
      <c r="F7" s="26"/>
    </row>
    <row r="8" customFormat="false" ht="15" hidden="false" customHeight="false" outlineLevel="0" collapsed="false">
      <c r="A8" s="26" t="s">
        <v>104</v>
      </c>
      <c r="B8" s="27" t="n">
        <v>0.65</v>
      </c>
      <c r="C8" s="28" t="n">
        <f aca="false">1/B8</f>
        <v>1.53846153846154</v>
      </c>
      <c r="D8" s="28" t="n">
        <f aca="false">D7+C8</f>
        <v>5.78846153846154</v>
      </c>
      <c r="E8" s="29" t="n">
        <f aca="false">D8/$I$1</f>
        <v>0.96474358974359</v>
      </c>
      <c r="F8" s="26"/>
    </row>
    <row r="9" customFormat="false" ht="15" hidden="false" customHeight="false" outlineLevel="0" collapsed="false">
      <c r="A9" s="26" t="s">
        <v>106</v>
      </c>
      <c r="B9" s="27" t="n">
        <v>0.5</v>
      </c>
      <c r="C9" s="28" t="n">
        <f aca="false">1/B9</f>
        <v>2</v>
      </c>
      <c r="D9" s="28" t="n">
        <f aca="false">D8+C9</f>
        <v>7.78846153846154</v>
      </c>
      <c r="E9" s="29" t="n">
        <f aca="false">D9/$I$1</f>
        <v>1.29807692307692</v>
      </c>
      <c r="F9" s="30" t="s">
        <v>152</v>
      </c>
    </row>
    <row r="10" customFormat="false" ht="15" hidden="false" customHeight="false" outlineLevel="0" collapsed="false">
      <c r="A10" s="26" t="s">
        <v>107</v>
      </c>
      <c r="B10" s="27" t="n">
        <v>0.4</v>
      </c>
      <c r="C10" s="28" t="n">
        <f aca="false">1/B10</f>
        <v>2.5</v>
      </c>
      <c r="D10" s="28" t="n">
        <f aca="false">D9+C10</f>
        <v>10.2884615384615</v>
      </c>
      <c r="E10" s="29" t="n">
        <f aca="false">D10/$I$1</f>
        <v>1.71474358974359</v>
      </c>
      <c r="F10" s="26"/>
    </row>
    <row r="11" customFormat="false" ht="15" hidden="false" customHeight="false" outlineLevel="0" collapsed="false">
      <c r="A11" s="26" t="s">
        <v>109</v>
      </c>
      <c r="B11" s="27" t="n">
        <v>0.3</v>
      </c>
      <c r="C11" s="28" t="n">
        <f aca="false">1/B11</f>
        <v>3.33333333333333</v>
      </c>
      <c r="D11" s="28" t="n">
        <f aca="false">D10+C11</f>
        <v>13.6217948717949</v>
      </c>
      <c r="E11" s="29" t="n">
        <f aca="false">D11/$I$1</f>
        <v>2.27029914529915</v>
      </c>
      <c r="F11" s="26"/>
    </row>
    <row r="12" customFormat="false" ht="15" hidden="false" customHeight="false" outlineLevel="0" collapsed="false">
      <c r="A12" s="26" t="s">
        <v>110</v>
      </c>
      <c r="B12" s="27" t="n">
        <v>0.25</v>
      </c>
      <c r="C12" s="28" t="n">
        <f aca="false">1/B12</f>
        <v>4</v>
      </c>
      <c r="D12" s="28" t="n">
        <f aca="false">D11+C12</f>
        <v>17.6217948717949</v>
      </c>
      <c r="E12" s="29" t="n">
        <f aca="false">D12/$I$1</f>
        <v>2.93696581196581</v>
      </c>
      <c r="F12" s="30" t="s">
        <v>153</v>
      </c>
    </row>
    <row r="13" customFormat="false" ht="15" hidden="false" customHeight="false" outlineLevel="0" collapsed="false">
      <c r="A13" s="26" t="s">
        <v>154</v>
      </c>
      <c r="B13" s="27" t="n">
        <v>0.15</v>
      </c>
      <c r="C13" s="28" t="n">
        <f aca="false">1/B13</f>
        <v>6.66666666666667</v>
      </c>
      <c r="D13" s="28" t="n">
        <f aca="false">D12+C13</f>
        <v>24.2884615384615</v>
      </c>
      <c r="E13" s="29" t="n">
        <f aca="false">D13/$I$1</f>
        <v>4.04807692307692</v>
      </c>
      <c r="F13" s="26"/>
    </row>
    <row r="14" customFormat="false" ht="15" hidden="false" customHeight="false" outlineLevel="0" collapsed="false">
      <c r="A14" s="26" t="s">
        <v>155</v>
      </c>
      <c r="B14" s="27" t="n">
        <v>0.1</v>
      </c>
      <c r="C14" s="28" t="n">
        <f aca="false">1/B14</f>
        <v>10</v>
      </c>
      <c r="D14" s="28" t="n">
        <f aca="false">D13+C14</f>
        <v>34.2884615384615</v>
      </c>
      <c r="E14" s="29" t="n">
        <f aca="false">D14/$I$1</f>
        <v>5.71474358974359</v>
      </c>
      <c r="F14" s="26"/>
    </row>
    <row r="15" customFormat="false" ht="15" hidden="false" customHeight="false" outlineLevel="0" collapsed="false">
      <c r="A15" s="26" t="s">
        <v>156</v>
      </c>
      <c r="B15" s="27" t="n">
        <v>0.07</v>
      </c>
      <c r="C15" s="28" t="n">
        <f aca="false">1/B15</f>
        <v>14.2857142857143</v>
      </c>
      <c r="D15" s="28" t="n">
        <f aca="false">D14+C15</f>
        <v>48.5741758241758</v>
      </c>
      <c r="E15" s="29" t="n">
        <f aca="false">D15/$I$1</f>
        <v>8.09569597069597</v>
      </c>
      <c r="F15" s="30" t="s">
        <v>157</v>
      </c>
    </row>
    <row r="16" customFormat="false" ht="15" hidden="false" customHeight="false" outlineLevel="0" collapsed="false">
      <c r="A16" s="26" t="s">
        <v>158</v>
      </c>
      <c r="B16" s="27" t="n">
        <v>0.05</v>
      </c>
      <c r="C16" s="28" t="n">
        <f aca="false">1/B16</f>
        <v>20</v>
      </c>
      <c r="D16" s="28" t="n">
        <f aca="false">D15+C16</f>
        <v>68.5741758241758</v>
      </c>
      <c r="E16" s="29" t="n">
        <f aca="false">D16/$I$1</f>
        <v>11.4290293040293</v>
      </c>
      <c r="F16" s="26"/>
    </row>
    <row r="17" customFormat="false" ht="15" hidden="false" customHeight="false" outlineLevel="0" collapsed="false">
      <c r="A17" s="26" t="s">
        <v>159</v>
      </c>
      <c r="B17" s="27" t="n">
        <v>0.03</v>
      </c>
      <c r="C17" s="28" t="n">
        <f aca="false">1/B17</f>
        <v>33.3333333333333</v>
      </c>
      <c r="D17" s="28" t="n">
        <f aca="false">D16+C17</f>
        <v>101.907509157509</v>
      </c>
      <c r="E17" s="29" t="n">
        <f aca="false">D17/$I$1</f>
        <v>16.9845848595849</v>
      </c>
      <c r="F17" s="26"/>
    </row>
    <row r="18" customFormat="false" ht="17.15" hidden="false" customHeight="false" outlineLevel="0" collapsed="false">
      <c r="A18" s="26" t="s">
        <v>160</v>
      </c>
      <c r="B18" s="27" t="n">
        <v>0.02</v>
      </c>
      <c r="C18" s="28" t="n">
        <f aca="false">1/B18</f>
        <v>50</v>
      </c>
      <c r="D18" s="28" t="n">
        <f aca="false">D17+C18</f>
        <v>151.907509157509</v>
      </c>
      <c r="E18" s="29" t="n">
        <f aca="false">D18/$I$1</f>
        <v>25.3179181929182</v>
      </c>
      <c r="F18" s="30" t="s">
        <v>161</v>
      </c>
    </row>
    <row r="19" customFormat="false" ht="15" hidden="false" customHeight="false" outlineLevel="0" collapsed="false">
      <c r="A19" s="26" t="s">
        <v>162</v>
      </c>
      <c r="B19" s="27" t="n">
        <v>0.01</v>
      </c>
      <c r="C19" s="28" t="n">
        <f aca="false">1/B19</f>
        <v>100</v>
      </c>
      <c r="D19" s="28" t="n">
        <f aca="false">D18+C19</f>
        <v>251.907509157509</v>
      </c>
      <c r="E19" s="29" t="n">
        <f aca="false">D19/$I$1</f>
        <v>41.9845848595849</v>
      </c>
      <c r="F19" s="30" t="s">
        <v>163</v>
      </c>
    </row>
    <row r="20" customFormat="false" ht="15" hidden="false" customHeight="false" outlineLevel="0" collapsed="false">
      <c r="A20" s="26" t="s">
        <v>164</v>
      </c>
      <c r="B20" s="27" t="n">
        <v>0.01</v>
      </c>
      <c r="C20" s="28" t="n">
        <f aca="false">1/B20</f>
        <v>100</v>
      </c>
      <c r="D20" s="28" t="n">
        <f aca="false">D19+C20</f>
        <v>351.907509157509</v>
      </c>
      <c r="E20" s="29" t="n">
        <f aca="false">D20/$I$1</f>
        <v>58.6512515262515</v>
      </c>
      <c r="F20" s="26"/>
    </row>
    <row r="21" customFormat="false" ht="15" hidden="false" customHeight="false" outlineLevel="0" collapsed="false">
      <c r="A21" s="26" t="s">
        <v>165</v>
      </c>
      <c r="B21" s="27" t="n">
        <v>0.01</v>
      </c>
      <c r="C21" s="28" t="n">
        <f aca="false">1/B21</f>
        <v>100</v>
      </c>
      <c r="D21" s="28" t="n">
        <f aca="false">D20+C21</f>
        <v>451.907509157509</v>
      </c>
      <c r="E21" s="29" t="n">
        <f aca="false">D21/$I$1</f>
        <v>75.3179181929182</v>
      </c>
      <c r="F21" s="26"/>
    </row>
    <row r="22" customFormat="false" ht="15" hidden="false" customHeight="false" outlineLevel="0" collapsed="false">
      <c r="A22" s="26" t="s">
        <v>166</v>
      </c>
      <c r="B22" s="27" t="n">
        <v>0.01</v>
      </c>
      <c r="C22" s="28" t="n">
        <f aca="false">1/B22</f>
        <v>100</v>
      </c>
      <c r="D22" s="28" t="n">
        <f aca="false">D21+C22</f>
        <v>551.907509157509</v>
      </c>
      <c r="E22" s="29" t="n">
        <f aca="false">D22/$I$1</f>
        <v>91.9845848595849</v>
      </c>
      <c r="F22" s="26"/>
    </row>
    <row r="23" customFormat="false" ht="15" hidden="false" customHeight="false" outlineLevel="0" collapsed="false">
      <c r="A23" s="26" t="s">
        <v>167</v>
      </c>
      <c r="B23" s="27" t="n">
        <v>0.01</v>
      </c>
      <c r="C23" s="28" t="n">
        <f aca="false">1/B23</f>
        <v>100</v>
      </c>
      <c r="D23" s="28" t="n">
        <f aca="false">D22+C23</f>
        <v>651.907509157509</v>
      </c>
      <c r="E23" s="29" t="n">
        <f aca="false">D23/$I$1</f>
        <v>108.651251526252</v>
      </c>
      <c r="F23" s="26"/>
    </row>
    <row r="25" customFormat="false" ht="17.15" hidden="false" customHeight="false" outlineLevel="0" collapsed="false">
      <c r="A25" s="31" t="s">
        <v>168</v>
      </c>
    </row>
    <row r="26" customFormat="false" ht="17.15" hidden="false" customHeight="false" outlineLevel="0" collapsed="false">
      <c r="A26" s="31" t="s">
        <v>169</v>
      </c>
    </row>
    <row r="27" customFormat="false" ht="17.15" hidden="false" customHeight="false" outlineLevel="0" collapsed="false">
      <c r="A27" s="24" t="s">
        <v>170</v>
      </c>
    </row>
    <row r="28" customFormat="false" ht="17.15" hidden="false" customHeight="false" outlineLevel="0" collapsed="false">
      <c r="A28" s="31" t="s">
        <v>171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2026-07-23T16:13:31Z</dcterms:created>
  <dc:creator>openpyxl</dc:creator>
  <dc:description/>
  <dc:language>en-US</dc:language>
  <cp:lastModifiedBy/>
  <dcterms:modified xsi:type="dcterms:W3CDTF">2026-07-23T16:25:20Z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